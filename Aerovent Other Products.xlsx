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nowledge\AI\Saas Programs\AeroERP\inventory\"/>
    </mc:Choice>
  </mc:AlternateContent>
  <xr:revisionPtr revIDLastSave="0" documentId="8_{11DEF3F4-3E3E-4179-B1AD-7ABAFBEECC23}" xr6:coauthVersionLast="47" xr6:coauthVersionMax="47" xr10:uidLastSave="{00000000-0000-0000-0000-000000000000}"/>
  <bookViews>
    <workbookView xWindow="-28920" yWindow="3660" windowWidth="29040" windowHeight="15720" xr2:uid="{FD930F97-B524-4C97-BF36-EFB7EF1C9E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18" i="1" l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K93" i="1"/>
  <c r="M93" i="1" s="1"/>
  <c r="K92" i="1"/>
  <c r="M92" i="1" s="1"/>
  <c r="K91" i="1"/>
  <c r="M91" i="1" s="1"/>
  <c r="K90" i="1"/>
  <c r="M90" i="1" s="1"/>
  <c r="K89" i="1"/>
  <c r="M89" i="1" s="1"/>
  <c r="K88" i="1"/>
  <c r="M88" i="1" s="1"/>
  <c r="K87" i="1"/>
  <c r="M87" i="1" s="1"/>
  <c r="K86" i="1"/>
  <c r="M86" i="1" s="1"/>
  <c r="M85" i="1"/>
  <c r="L85" i="1"/>
  <c r="M84" i="1"/>
  <c r="L84" i="1"/>
  <c r="M83" i="1"/>
  <c r="M82" i="1"/>
  <c r="M81" i="1"/>
  <c r="M80" i="1"/>
  <c r="L80" i="1"/>
  <c r="M79" i="1"/>
  <c r="L79" i="1"/>
  <c r="M78" i="1"/>
  <c r="L78" i="1"/>
  <c r="M77" i="1"/>
  <c r="L77" i="1"/>
  <c r="M76" i="1"/>
  <c r="L76" i="1"/>
  <c r="M75" i="1"/>
  <c r="M74" i="1"/>
  <c r="M73" i="1"/>
  <c r="K72" i="1"/>
  <c r="M72" i="1" s="1"/>
  <c r="K71" i="1"/>
  <c r="M71" i="1" s="1"/>
  <c r="K70" i="1"/>
  <c r="M70" i="1" s="1"/>
  <c r="K69" i="1"/>
  <c r="M69" i="1" s="1"/>
  <c r="K68" i="1"/>
  <c r="M68" i="1" s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K25" i="1"/>
  <c r="M25" i="1" s="1"/>
  <c r="K24" i="1"/>
  <c r="M24" i="1" s="1"/>
  <c r="K23" i="1"/>
  <c r="M23" i="1" s="1"/>
  <c r="K22" i="1"/>
  <c r="M22" i="1" s="1"/>
  <c r="K21" i="1"/>
  <c r="M21" i="1" s="1"/>
  <c r="K20" i="1"/>
  <c r="M20" i="1" s="1"/>
  <c r="K19" i="1"/>
  <c r="M19" i="1" s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</calcChain>
</file>

<file path=xl/sharedStrings.xml><?xml version="1.0" encoding="utf-8"?>
<sst xmlns="http://schemas.openxmlformats.org/spreadsheetml/2006/main" count="799" uniqueCount="243">
  <si>
    <t>ALUMINUM DUCT - MAXAIR - 4" x 10 meters</t>
  </si>
  <si>
    <t>CAT00282</t>
  </si>
  <si>
    <t>pc</t>
  </si>
  <si>
    <t>AEROVENT</t>
  </si>
  <si>
    <t>ALUMINUM DUCT - MAXAIR - 5" x 10 meters</t>
  </si>
  <si>
    <t>CAT00283</t>
  </si>
  <si>
    <t>ALUMINUM DUCT - MAXAIR - 6" x 10 meters</t>
  </si>
  <si>
    <t>CAT00284</t>
  </si>
  <si>
    <t>ALUMINUM DUCT - MAXAIR - 8" x 10 meters</t>
  </si>
  <si>
    <t>CAT00285</t>
  </si>
  <si>
    <t>DUST COLLECTOR - META - CT-50GP</t>
  </si>
  <si>
    <t>CAT00286</t>
  </si>
  <si>
    <t>DUST COLLECTOR - META - CT-105A</t>
  </si>
  <si>
    <t>CAT00287</t>
  </si>
  <si>
    <t>DUST COLLECTOR - META - CT-201</t>
  </si>
  <si>
    <t>CAT00288</t>
  </si>
  <si>
    <t>Plant Warehouse</t>
  </si>
  <si>
    <t>Out</t>
  </si>
  <si>
    <t>EXPROOF MOTOR 1HP , 3PH 4 POLE FOOT MOUNTED (TECO)</t>
  </si>
  <si>
    <t>CAT00139</t>
  </si>
  <si>
    <t/>
  </si>
  <si>
    <t>MOTOR</t>
  </si>
  <si>
    <t>EXPROOF MOTOR 1.5HP , 3PH 4 POLE FOOT MOUNTED (TECO)</t>
  </si>
  <si>
    <t>CAT00140</t>
  </si>
  <si>
    <t>EXPROOF MOTOR 2HP , 3PH 4 POLE FOOT MOUNTED (TECO)</t>
  </si>
  <si>
    <t>CAT00141</t>
  </si>
  <si>
    <t>EXPROOF MOTOR 3HP , 3PH 4 POLE FOOT MOUNTED (TECO)</t>
  </si>
  <si>
    <t>CAT00142</t>
  </si>
  <si>
    <t>EXPROOF MOTOR 5HP , 3PH 4 POLE FOOT MOUNTED (TECO)</t>
  </si>
  <si>
    <t>CAT00143</t>
  </si>
  <si>
    <t>EXPROOF MOTOR 7.5HP , 3PH 4 POLE FOOT MOUNTED (TECO)</t>
  </si>
  <si>
    <t>CAT00144</t>
  </si>
  <si>
    <t>EXPROOF MOTOR 10HP , 3PH 4 POLE FOOT MOUNTED (TECO)</t>
  </si>
  <si>
    <t>CAT00145</t>
  </si>
  <si>
    <t>EXPROOF MOTOR 15HP , 3PH 4 POLE FOOT MOUNTED (TECO)</t>
  </si>
  <si>
    <t>CAT00146</t>
  </si>
  <si>
    <t>EXPROOF MOTOR 20HP , 3PH 4 POLE FOOT MOUNTED (TECO)</t>
  </si>
  <si>
    <t>CAT00147</t>
  </si>
  <si>
    <t>EXPROOF MOTOR 25HP , 3PH 4 POLE FOOT MOUNTED (TECO)</t>
  </si>
  <si>
    <t>CAT00148</t>
  </si>
  <si>
    <t>INDUCTION MOTOR 0.5 HP, 1PH, 4 POLE, FOOT MOUNTED (TECO)</t>
  </si>
  <si>
    <t>CAT00149</t>
  </si>
  <si>
    <t>INDUCTION MOTOR 0.75 HP, 1PH, 4 POLE, FOOT MOUNTED (TECO)</t>
  </si>
  <si>
    <t>CAT00150</t>
  </si>
  <si>
    <t>INDUCTION MOTOR 1 HP, 1PH, 4 POLE, FOOT MOUNTED (TECO)</t>
  </si>
  <si>
    <t>CAT00151</t>
  </si>
  <si>
    <t>OK</t>
  </si>
  <si>
    <t>INDUCTION MOTOR 1.5 HP, 1PH, 4 POLE, FOOT MOUNTED (TECO)</t>
  </si>
  <si>
    <t>CAT00152</t>
  </si>
  <si>
    <t>INDUCTION MOTOR 2 HP, 1PH, 4 POLE, FOOT MOUNTED (TECO)</t>
  </si>
  <si>
    <t>CAT00153</t>
  </si>
  <si>
    <t>INDUCTION MOTOR 3 HP, 1PH, 4 POLE, FOOT MOUNTED (TECO)</t>
  </si>
  <si>
    <t>CAT00154</t>
  </si>
  <si>
    <t>INDUCTION MOTOR 5 HP, 1PH, 4 POLE, FOOT MOUNTED (TECO)</t>
  </si>
  <si>
    <t>CAT00155</t>
  </si>
  <si>
    <t>INDUCTION MOTOR 0.5HP ,3PH 0.37 KW, 4 POLE, FOOT MOUNTED (TECO)</t>
  </si>
  <si>
    <t>CAT00156</t>
  </si>
  <si>
    <t>INDUCTION MOTOR 1 HP , 3PH 0.75 KW, 4 POLE, FOOT MOUNTED (TECO)</t>
  </si>
  <si>
    <t>CAT00157</t>
  </si>
  <si>
    <t>INDUCTION MOTOR 1.5 HP , 3PH, 4 POLE, FOOT MOUNTED (TECO)</t>
  </si>
  <si>
    <t>CAT00158</t>
  </si>
  <si>
    <t>INDUCTION MOTOR 2 HP , 3PH 4 POLE FOOT MOUNTED (TECO)</t>
  </si>
  <si>
    <t>CAT00159</t>
  </si>
  <si>
    <t>INDUCTION MOTOR 3 HP , 3PH 4 POLE FOOT MOUNTED (TECO)</t>
  </si>
  <si>
    <t>CAT00160</t>
  </si>
  <si>
    <t>INDUCTION MOTOR 5 HP , 3PH 4 POLE FOOT MOUNTED (TECO)</t>
  </si>
  <si>
    <t>CAT00161</t>
  </si>
  <si>
    <t>INDUCTION MOTOR 7.5HP , 3PH 5.5KW, 4 POLE, FOOT MOUNTED (TECO)</t>
  </si>
  <si>
    <t>CAT00162</t>
  </si>
  <si>
    <t>INDUCTION MOTOR 10 HP, 3PH, 4 POLE, FOOT MOUNTED (TECO)</t>
  </si>
  <si>
    <t>CAT00163</t>
  </si>
  <si>
    <t>INDUCTION MOTOR 15 HP, 3PH, 4 POLE, FOOT MOUNTED (TECO)</t>
  </si>
  <si>
    <t>CAT00164</t>
  </si>
  <si>
    <t>INDUCTION MOTOR 20 HP, 3PH, 4 POLE, FOOT MOUNTED (TECO)</t>
  </si>
  <si>
    <t>CAT00165</t>
  </si>
  <si>
    <t>INDUCTION MOTOR 25 HP, 3PH, 4 POLE, FOOT MOUNTED (TECO)</t>
  </si>
  <si>
    <t>CAT00166</t>
  </si>
  <si>
    <t>INDUCTION MOTOR 30 HP, 3PH, 4 POLE, FOOT MOUNTED (TECO)</t>
  </si>
  <si>
    <t>CAT00167</t>
  </si>
  <si>
    <t>INDUCTION MOTOR 40 HP, 3PH, 4 POLE, FOOT MOUNTED (TECO)</t>
  </si>
  <si>
    <t>CAT00168</t>
  </si>
  <si>
    <t>INDUCTION MOTOR 50 HP, 3PH, 4 POLE, FOOT MOUNTED (TECO)</t>
  </si>
  <si>
    <t>CAT00169</t>
  </si>
  <si>
    <t>INDUCTION MOTOR 60 HP, 3PH, 4 POLE, FOOT MOUNTED (TECO)</t>
  </si>
  <si>
    <t>CAT00170</t>
  </si>
  <si>
    <t>INDUCTION MOTOR 75 HP, 3PH, 4 POLE, FOOT MOUNTED (TECO)</t>
  </si>
  <si>
    <t>CAT00171</t>
  </si>
  <si>
    <t>INDUCTION MOTOR 100HP, 3PH, 4 POLE, FOOT MOUNTED (TECO)</t>
  </si>
  <si>
    <t>CAT00172</t>
  </si>
  <si>
    <t>INDUCTION MOTOR 125 HP, 3PH, 4 POLE, FOOT MOUNTED (TECO)</t>
  </si>
  <si>
    <t>CAT00173</t>
  </si>
  <si>
    <t>INDUCTION MOTOR 150HP, 3PH, 4 POLE, FOOT MOUNTED (TECO)</t>
  </si>
  <si>
    <t>CAT00174</t>
  </si>
  <si>
    <t>INDUCTION MOTOR 175 HP, 3PH, 4 POLE, FOOT MOUNTED (TECO)</t>
  </si>
  <si>
    <t>CAT00175</t>
  </si>
  <si>
    <t>INDUCTION MOTOR 200 HP, 3PH, 4 POLE, FOOT MOUNTED (TECO)</t>
  </si>
  <si>
    <t>CAT00176</t>
  </si>
  <si>
    <t>INDUCTION MOTOR 0.5 HP , 3 PH .37KW (HYUNDAI)</t>
  </si>
  <si>
    <t>CAT00177</t>
  </si>
  <si>
    <t>INDUCTION MOTOR 1 HP , 3 PH .75KW (HYUNDAI)</t>
  </si>
  <si>
    <t>CAT00178</t>
  </si>
  <si>
    <t>INDUCTION MOTOR 1.5 HP , 3 PH 1.1KW (HYUNDAI)</t>
  </si>
  <si>
    <t>CAT00179</t>
  </si>
  <si>
    <t>INDUCTION MOTOR 2 HP , 3 PH 1.5KW (HYUNDAI)</t>
  </si>
  <si>
    <t>CAT00180</t>
  </si>
  <si>
    <t>INDUCTION MOTOR 3 HP , 3 PH 2.2KW (HYUNDAI)</t>
  </si>
  <si>
    <t>CAT00181</t>
  </si>
  <si>
    <t>INDUCTION MOTOR 5.5 HP , 3 PH 4KW (HYUNDAI)</t>
  </si>
  <si>
    <t>CAT00182</t>
  </si>
  <si>
    <t>INDUCTION MOTOR 7.5 HP , 3 PH 5.5KW (HYUNDAI)</t>
  </si>
  <si>
    <t>CAT00183</t>
  </si>
  <si>
    <t>INDUCTION MOTOR 10 HP, 3 PH 7.5 KW (HYUNDAI)</t>
  </si>
  <si>
    <t>CAT00184</t>
  </si>
  <si>
    <t>INDUCTION MOTOR 15HP, 3 PH 11 KW (HYUNDAI)</t>
  </si>
  <si>
    <t>CAT00185</t>
  </si>
  <si>
    <t>INDUCTION MOTOR 20HP, 3 PH 15 KW (HYUNDAI)</t>
  </si>
  <si>
    <t>CAT00186</t>
  </si>
  <si>
    <t>INDUCTION MOTOR 25 HP, 3 PH 18.5 KW (HYUNDAI)</t>
  </si>
  <si>
    <t>CAT00187</t>
  </si>
  <si>
    <t>INDUCTION MOTOR 30HP, 3 PH 22 KW (HYUNDAI)</t>
  </si>
  <si>
    <t>CAT00188</t>
  </si>
  <si>
    <t>INDUCTION MOTOR 40 HP, 3 PH 30 KW (HYUNDAI)</t>
  </si>
  <si>
    <t>CAT00189</t>
  </si>
  <si>
    <t>INDUCTION MOTOR 50HP, 3 PH 37 KW (HYUNDAI)</t>
  </si>
  <si>
    <t>CAT00190</t>
  </si>
  <si>
    <t>INDUCTION MOTOR 60HP, 3 PH 45 KW (HYUNDAI)</t>
  </si>
  <si>
    <t>CAT00191</t>
  </si>
  <si>
    <t>INDUCTION MOTOR 75 HP, 3 PH 55 KW (HYUNDAI)</t>
  </si>
  <si>
    <t>CAT00192</t>
  </si>
  <si>
    <t>INDUCTION MOTOR 100 HP, 3 PH 75 KW (HYUNDAI)</t>
  </si>
  <si>
    <t>CAT00193</t>
  </si>
  <si>
    <t>INDUCTION MOTOR 120 HP, 3 PH 90 KW (HYUNDAI)</t>
  </si>
  <si>
    <t>CAT00194</t>
  </si>
  <si>
    <t>INDUCTION MOTOR 150HP, 3 PH 110 KW (HYUNDAI)</t>
  </si>
  <si>
    <t>CAT00195</t>
  </si>
  <si>
    <t>INDUCTION MOTOR 175HP, 3 PH 132 KW (HYUNDAI)</t>
  </si>
  <si>
    <t>CAT00196</t>
  </si>
  <si>
    <t>INDUCTION MOTOR 200 HP, 3 PH 160 KW (HYUNDAI)</t>
  </si>
  <si>
    <t>CAT00197</t>
  </si>
  <si>
    <t>INLINE FAN - OSTBERG - CK200</t>
  </si>
  <si>
    <t>CAT00279</t>
  </si>
  <si>
    <t>INLINE FAN - OSTBERG - CK250</t>
  </si>
  <si>
    <t>CAT00280</t>
  </si>
  <si>
    <t>INLINE FAN - OSTBERG - CK315</t>
  </si>
  <si>
    <t>CAT00281</t>
  </si>
  <si>
    <t>JET FAN - MAXAIR - MA-250</t>
  </si>
  <si>
    <t>CAT00277</t>
  </si>
  <si>
    <t>JET FAN - MAXAIR - MA-300</t>
  </si>
  <si>
    <t>CAT00278</t>
  </si>
  <si>
    <t>JET FAN - ALPHAAIR - 8" - AJF-200</t>
  </si>
  <si>
    <t>CAT00115</t>
  </si>
  <si>
    <t>ALPHAAIR</t>
  </si>
  <si>
    <t>JET FAN - ALPHAAIR - 10" - AJF-250</t>
  </si>
  <si>
    <t>CAT00116</t>
  </si>
  <si>
    <t>JET FAN - ALPHAAIR - 12" - AJF-300</t>
  </si>
  <si>
    <t>CAT00117</t>
  </si>
  <si>
    <t>PORTABLE AXIAL FAN - PIONEER - SD-S25 - 10" - UNIT &amp; DUCT</t>
  </si>
  <si>
    <t>CAT00213</t>
  </si>
  <si>
    <t>PORTABLE AXIAL FAN - PIONEER - SD-S30 - 12" - UNIT &amp; DUCT</t>
  </si>
  <si>
    <t>CAT00214</t>
  </si>
  <si>
    <t>PORTABLE AXIAL FAN - PIONEER - SD-S35 - 14" - UNIT &amp; DUCT</t>
  </si>
  <si>
    <t>CAT00215</t>
  </si>
  <si>
    <t>PORTABLE AXIAL FAN - PIONEER - SD-S40 - 16" - UNIT &amp; DUCT</t>
  </si>
  <si>
    <t>CAT00216</t>
  </si>
  <si>
    <t>PORTABLE AXIAL FAN - PIONEER - SD-S60 - 24" - UNIT &amp; DUCT</t>
  </si>
  <si>
    <t>CAT00217</t>
  </si>
  <si>
    <t>PORTABLE AXIAL FAN - PIONEER - SD-S25 - 10" - DUCT ONLY</t>
  </si>
  <si>
    <t>CAT00218</t>
  </si>
  <si>
    <t>PORTABLE AXIAL FAN - PIONEER - SD-S30 - 12" - DUCT ONLY</t>
  </si>
  <si>
    <t>CAT00219</t>
  </si>
  <si>
    <t>PORTABLE AXIAL FAN - PIONEER - SD-S35 - 14" - DUCT ONLY</t>
  </si>
  <si>
    <t>CAT00220</t>
  </si>
  <si>
    <t>PORTABLE AXIAL FAN - PIONEER - SD-S40 - 16" - DUCT ONLY</t>
  </si>
  <si>
    <t>CAT00221</t>
  </si>
  <si>
    <t>PORTABLE AXIAL FAN - PIONEER - SD-S60 - 24" - DUCT ONLY</t>
  </si>
  <si>
    <t>CAT00222</t>
  </si>
  <si>
    <t>NENUTEC VARIABLE AIR VOLUME 4" DIAMETER</t>
  </si>
  <si>
    <t>CAT00198</t>
  </si>
  <si>
    <t>NENUTEC VARIABLE AIR VOLUME 6" DIAMETER</t>
  </si>
  <si>
    <t>CAT00199</t>
  </si>
  <si>
    <t>NENUTEC VARIABLE AIR VOLUME 8" DIAMETER</t>
  </si>
  <si>
    <t>CAT00200</t>
  </si>
  <si>
    <t>NENUTEC VARIABLE AIR VOLUME 10" DIAMETER</t>
  </si>
  <si>
    <t>CAT00201</t>
  </si>
  <si>
    <t>NENUTEC VARIABLE AIR VOLUME 12" DIAMETER</t>
  </si>
  <si>
    <t>CAT00202</t>
  </si>
  <si>
    <t>NENUTEC VARIABLE AIR VOLUME 14" DIAMETER</t>
  </si>
  <si>
    <t>CAT00203</t>
  </si>
  <si>
    <t>NENUTEC VARIABLE AIR VOLUME 16" DIAMETER</t>
  </si>
  <si>
    <t>CAT00204</t>
  </si>
  <si>
    <t>NENUTEC VARIABLE AIR VOLUME 24" DIAMETER</t>
  </si>
  <si>
    <t>CAT00205</t>
  </si>
  <si>
    <t>NENUTEC VARIABLE AIR VOLUME 6" DIAMETER BOX ONLY</t>
  </si>
  <si>
    <t>CAT00206</t>
  </si>
  <si>
    <t>NENUTEC VARIABLE AIR VOLUME 8" DIAMETER BOX ONLY</t>
  </si>
  <si>
    <t>CAT00207</t>
  </si>
  <si>
    <t>NENUTEC VARIABLE AIR VOLUME 10" DIAMETER BOX ONLY</t>
  </si>
  <si>
    <t>CAT00208</t>
  </si>
  <si>
    <t>NENUTEC VARIABLE AIR VOLUME 12" DIAMETER BOX ONLY</t>
  </si>
  <si>
    <t>CAT00209</t>
  </si>
  <si>
    <t>NENUTEC VARIABLE AIR VOLUME 14" DIAMETER BOX ONLY</t>
  </si>
  <si>
    <t>CAT00210</t>
  </si>
  <si>
    <t>NENUTEC VARIABLE AIR VOLUME 16" DIAMETER BOX ONLY</t>
  </si>
  <si>
    <t>CAT00211</t>
  </si>
  <si>
    <t>NENUTEC VARIABLE AIR VOLUME 24" DIAMETER BOX ONLY</t>
  </si>
  <si>
    <t>CAT00212</t>
  </si>
  <si>
    <t>12" WIND DRIVEN ROOF VENTILATOR - ALUMINUM MATERIAL</t>
  </si>
  <si>
    <t>CAT00001</t>
  </si>
  <si>
    <t>Office</t>
  </si>
  <si>
    <t>15" WIND DRIVEN ROOF VENTILATOR - ALUMINUM MATERIAL</t>
  </si>
  <si>
    <t>CAT00002</t>
  </si>
  <si>
    <t>24" WIND DRIVEN ROOF VENTILATOR - ALUMINUM MATERIAL</t>
  </si>
  <si>
    <t>CAT00003</t>
  </si>
  <si>
    <t>27" WIND DRIVEN ROOF VENTILATOR - ALUMINUM MATERIAL</t>
  </si>
  <si>
    <t>CAT00004</t>
  </si>
  <si>
    <t>32" WIND DRIVEN ROOF VENTILATOR - ALUMINUM MATERIAL</t>
  </si>
  <si>
    <t>CAT00005</t>
  </si>
  <si>
    <t>36" WIND DRIVEN ROOF VENTILATOR - ALUMINUM MATERIAL</t>
  </si>
  <si>
    <t>CAT00006</t>
  </si>
  <si>
    <t>12" WIND DRIVEN ROOF VENTILATOR - G.I. MATERIAL</t>
  </si>
  <si>
    <t>CAT00007</t>
  </si>
  <si>
    <t>15" WIND DRIVEN ROOF VENTILATOR - G.I. MATERIAL</t>
  </si>
  <si>
    <t>CAT00008</t>
  </si>
  <si>
    <t>24" WIND DRIVEN ROOF VENTILATOR - G.I. MATERIAL</t>
  </si>
  <si>
    <t>CAT00009</t>
  </si>
  <si>
    <t>27" WIND DRIVEN ROOF VENTILATOR - G.I. MATERIAL</t>
  </si>
  <si>
    <t>CAT00010</t>
  </si>
  <si>
    <t>32" WIND DRIVEN ROOF VENTILATOR - G.I. MATERIAL</t>
  </si>
  <si>
    <t>CAT00011</t>
  </si>
  <si>
    <t>36" WIND DRIVEN ROOF VENTILATOR - G.I. MATERIAL</t>
  </si>
  <si>
    <t>CAT00012</t>
  </si>
  <si>
    <t>12" WIND DRIVEN ROOF VENTILATOR - STAINLESS STEEL 304 MATERIAL</t>
  </si>
  <si>
    <t>CAT00013</t>
  </si>
  <si>
    <t>15" WIND DRIVEN ROOF VENTILATOR - STAINLESS STEEL 304 MATERIAL</t>
  </si>
  <si>
    <t>CAT00014</t>
  </si>
  <si>
    <t>24" WIND DRIVEN ROOF VENTILATOR - STAINLESS STEEL 304 MATERIAL</t>
  </si>
  <si>
    <t>CAT00015</t>
  </si>
  <si>
    <t>27" WIND DRIVEN ROOF VENTILATOR - STAINLESS STEEL 304 MATERIAL</t>
  </si>
  <si>
    <t>CAT00016</t>
  </si>
  <si>
    <t>32" WIND DRIVEN ROOF VENTILATOR - STAINLESS STEEL 304 MATERIAL</t>
  </si>
  <si>
    <t>CAT00017</t>
  </si>
  <si>
    <t>36" WIND DRIVEN ROOF VENTILATOR - STAINLESS STEEL 304 MATERIAL</t>
  </si>
  <si>
    <t>CAT00018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</si>
</sst>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??_);_(@_)"/>
    <numFmt numFmtId="165" formatCode="_(* #,##0.00_);_(* \(#,##0.00\);_(* &quot;-&quot;??_);_(@_)"/>
    <numFmt numFmtId="166" formatCode="_-* #,##0_-;\-* #,##0_-;_-* &quot;-&quot;?_-;_-@_-"/>
    <numFmt numFmtId="167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43" fontId="2" fillId="0" borderId="0" xfId="1" applyFont="1" applyFill="1" applyBorder="1" applyAlignment="1">
      <alignment vertical="center"/>
    </xf>
    <xf numFmtId="0" fontId="2" fillId="0" borderId="0" xfId="0" applyFont="1" applyAlignment="1">
      <alignment horizontal="center"/>
    </xf>
    <xf numFmtId="164" fontId="2" fillId="0" borderId="0" xfId="1" applyNumberFormat="1" applyFont="1" applyFill="1" applyBorder="1" applyAlignment="1">
      <alignment horizontal="center"/>
    </xf>
    <xf numFmtId="4" fontId="0" fillId="0" borderId="0" xfId="0" applyNumberFormat="1"/>
    <xf numFmtId="165" fontId="2" fillId="0" borderId="0" xfId="0" applyNumberFormat="1" applyFont="1" applyAlignment="1">
      <alignment horizontal="left" vertical="center"/>
    </xf>
    <xf numFmtId="166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quotePrefix="1" applyNumberFormat="1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7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 vertical="center"/>
    </xf>
    <xf numFmtId="43" fontId="1" fillId="0" borderId="0" xfId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062C-A214-412F-AE30-0A845F8A1B5E}">
  <dimension ref="A2:O118"/>
  <sheetViews>
    <sheetView tabSelected="1" topLeftCell="A79" workbookViewId="0">
      <selection activeCell="A82" sqref="A82"/>
    </sheetView>
  </sheetViews>
  <sheetFormatPr defaultRowHeight="14.5" x14ac:dyDescent="0.35"/>
  <cols>
    <col min="1" max="1" width="55.36328125" customWidth="1"/>
  </cols>
  <sheetData>
    <row r="2" spans="1:15" x14ac:dyDescent="0.35">
      <c r="A2" s="1" t="s">
        <v>0</v>
      </c>
      <c r="B2" s="2" t="s">
        <v>1</v>
      </c>
      <c r="C2" s="6"/>
      <c r="D2" s="2" t="s">
        <v>2</v>
      </c>
      <c r="E2" s="2" t="s">
        <v>3</v>
      </c>
      <c r="F2" s="2" t="s">
        <v>16</v>
      </c>
      <c r="G2" s="2">
        <v>0</v>
      </c>
      <c r="H2" s="2">
        <v>0</v>
      </c>
      <c r="I2" s="2">
        <v>0</v>
      </c>
      <c r="J2" s="6">
        <v>0</v>
      </c>
      <c r="K2" s="3">
        <v>398</v>
      </c>
      <c r="L2" s="7">
        <f>K2*1.3*1.12</f>
        <v>579.48800000000006</v>
      </c>
      <c r="M2" s="2">
        <f t="shared" ref="M2:M8" si="0">SUM(I2)*K2</f>
        <v>0</v>
      </c>
      <c r="N2" s="2" t="s">
        <v>17</v>
      </c>
      <c r="O2" s="8"/>
    </row>
    <row r="3" spans="1:15" x14ac:dyDescent="0.35">
      <c r="A3" s="1" t="s">
        <v>4</v>
      </c>
      <c r="B3" s="2" t="s">
        <v>5</v>
      </c>
      <c r="C3" s="6"/>
      <c r="D3" s="2" t="s">
        <v>2</v>
      </c>
      <c r="E3" s="2" t="s">
        <v>3</v>
      </c>
      <c r="F3" s="2" t="s">
        <v>16</v>
      </c>
      <c r="G3" s="2">
        <v>0</v>
      </c>
      <c r="H3" s="2">
        <v>0</v>
      </c>
      <c r="I3" s="2">
        <v>0</v>
      </c>
      <c r="J3" s="6">
        <v>0</v>
      </c>
      <c r="K3" s="3">
        <v>478</v>
      </c>
      <c r="L3" s="7">
        <f t="shared" ref="L3:L5" si="1">K3*1.3*1.12</f>
        <v>695.96800000000007</v>
      </c>
      <c r="M3" s="2">
        <f t="shared" si="0"/>
        <v>0</v>
      </c>
      <c r="N3" s="2" t="s">
        <v>17</v>
      </c>
      <c r="O3" s="8"/>
    </row>
    <row r="4" spans="1:15" x14ac:dyDescent="0.35">
      <c r="A4" s="1" t="s">
        <v>6</v>
      </c>
      <c r="B4" s="2" t="s">
        <v>7</v>
      </c>
      <c r="C4" s="6"/>
      <c r="D4" s="2" t="s">
        <v>2</v>
      </c>
      <c r="E4" s="2" t="s">
        <v>3</v>
      </c>
      <c r="F4" s="2" t="s">
        <v>16</v>
      </c>
      <c r="G4" s="2">
        <v>0</v>
      </c>
      <c r="H4" s="2">
        <v>0</v>
      </c>
      <c r="I4" s="2">
        <v>0</v>
      </c>
      <c r="J4" s="6">
        <v>0</v>
      </c>
      <c r="K4" s="3">
        <v>558</v>
      </c>
      <c r="L4" s="7">
        <f t="shared" si="1"/>
        <v>812.44800000000009</v>
      </c>
      <c r="M4" s="2">
        <f t="shared" si="0"/>
        <v>0</v>
      </c>
      <c r="N4" s="2" t="s">
        <v>17</v>
      </c>
      <c r="O4" s="8"/>
    </row>
    <row r="5" spans="1:15" x14ac:dyDescent="0.35">
      <c r="A5" s="1" t="s">
        <v>8</v>
      </c>
      <c r="B5" s="2" t="s">
        <v>9</v>
      </c>
      <c r="C5" s="6"/>
      <c r="D5" s="2" t="s">
        <v>2</v>
      </c>
      <c r="E5" s="2" t="s">
        <v>3</v>
      </c>
      <c r="F5" s="2" t="s">
        <v>16</v>
      </c>
      <c r="G5" s="2">
        <v>0</v>
      </c>
      <c r="H5" s="2">
        <v>0</v>
      </c>
      <c r="I5" s="2">
        <v>0</v>
      </c>
      <c r="J5" s="6">
        <v>0</v>
      </c>
      <c r="K5" s="3">
        <v>727</v>
      </c>
      <c r="L5" s="7">
        <f t="shared" si="1"/>
        <v>1058.5120000000002</v>
      </c>
      <c r="M5" s="2">
        <f t="shared" si="0"/>
        <v>0</v>
      </c>
      <c r="N5" s="2" t="s">
        <v>17</v>
      </c>
      <c r="O5" s="8"/>
    </row>
    <row r="6" spans="1:15" x14ac:dyDescent="0.35">
      <c r="A6" s="4" t="s">
        <v>10</v>
      </c>
      <c r="B6" s="2" t="s">
        <v>11</v>
      </c>
      <c r="C6" s="2"/>
      <c r="D6" s="2" t="s">
        <v>2</v>
      </c>
      <c r="E6" s="2" t="s">
        <v>3</v>
      </c>
      <c r="F6" s="2" t="s">
        <v>16</v>
      </c>
      <c r="G6" s="2">
        <v>0</v>
      </c>
      <c r="H6" s="2">
        <v>0</v>
      </c>
      <c r="I6" s="2">
        <v>0</v>
      </c>
      <c r="J6" s="6">
        <v>0</v>
      </c>
      <c r="K6" s="5">
        <v>19900</v>
      </c>
      <c r="L6" s="9">
        <f>K6*1.3*1.1</f>
        <v>28457.000000000004</v>
      </c>
      <c r="M6" s="2">
        <f t="shared" si="0"/>
        <v>0</v>
      </c>
      <c r="N6" s="2" t="s">
        <v>17</v>
      </c>
      <c r="O6" s="8"/>
    </row>
    <row r="7" spans="1:15" x14ac:dyDescent="0.35">
      <c r="A7" s="4" t="s">
        <v>12</v>
      </c>
      <c r="B7" s="2" t="s">
        <v>13</v>
      </c>
      <c r="C7" s="2"/>
      <c r="D7" s="2" t="s">
        <v>2</v>
      </c>
      <c r="E7" s="2" t="s">
        <v>3</v>
      </c>
      <c r="F7" s="2" t="s">
        <v>16</v>
      </c>
      <c r="G7" s="2">
        <v>0</v>
      </c>
      <c r="H7" s="2">
        <v>0</v>
      </c>
      <c r="I7" s="2">
        <v>0</v>
      </c>
      <c r="J7" s="6">
        <v>0</v>
      </c>
      <c r="K7" s="5">
        <v>33100</v>
      </c>
      <c r="L7" s="9">
        <f t="shared" ref="L7:L8" si="2">K7*1.3*1.1</f>
        <v>47333.000000000007</v>
      </c>
      <c r="M7" s="2">
        <f t="shared" si="0"/>
        <v>0</v>
      </c>
      <c r="N7" s="2" t="s">
        <v>17</v>
      </c>
      <c r="O7" s="8"/>
    </row>
    <row r="8" spans="1:15" x14ac:dyDescent="0.35">
      <c r="A8" s="4" t="s">
        <v>14</v>
      </c>
      <c r="B8" s="2" t="s">
        <v>15</v>
      </c>
      <c r="C8" s="2"/>
      <c r="D8" s="2" t="s">
        <v>2</v>
      </c>
      <c r="E8" s="2" t="s">
        <v>3</v>
      </c>
      <c r="F8" s="2" t="s">
        <v>16</v>
      </c>
      <c r="G8" s="2">
        <v>0</v>
      </c>
      <c r="H8" s="2">
        <v>0</v>
      </c>
      <c r="I8" s="2">
        <v>0</v>
      </c>
      <c r="J8" s="6">
        <v>0</v>
      </c>
      <c r="K8" s="5">
        <v>51500</v>
      </c>
      <c r="L8" s="9">
        <f t="shared" si="2"/>
        <v>73645</v>
      </c>
      <c r="M8" s="2">
        <f t="shared" si="0"/>
        <v>0</v>
      </c>
      <c r="N8" s="2" t="s">
        <v>17</v>
      </c>
      <c r="O8" s="8"/>
    </row>
    <row r="9" spans="1:15" x14ac:dyDescent="0.35">
      <c r="A9" s="4" t="s">
        <v>18</v>
      </c>
      <c r="B9" s="2" t="s">
        <v>19</v>
      </c>
      <c r="C9" s="2" t="s">
        <v>20</v>
      </c>
      <c r="D9" s="2" t="s">
        <v>2</v>
      </c>
      <c r="E9" s="2" t="s">
        <v>21</v>
      </c>
      <c r="F9" s="2" t="s">
        <v>16</v>
      </c>
      <c r="G9" s="2">
        <v>0</v>
      </c>
      <c r="H9" s="2">
        <v>0</v>
      </c>
      <c r="I9" s="2">
        <v>0</v>
      </c>
      <c r="J9" s="2">
        <v>0</v>
      </c>
      <c r="K9" s="6">
        <v>30454</v>
      </c>
      <c r="L9" s="7">
        <f>K9*1.3</f>
        <v>39590.200000000004</v>
      </c>
      <c r="M9" s="2">
        <f t="shared" ref="M9:M21" si="3">SUM(I9)*K9</f>
        <v>0</v>
      </c>
      <c r="N9" s="2" t="s">
        <v>17</v>
      </c>
      <c r="O9" s="8"/>
    </row>
    <row r="10" spans="1:15" x14ac:dyDescent="0.35">
      <c r="A10" s="4" t="s">
        <v>22</v>
      </c>
      <c r="B10" s="2" t="s">
        <v>23</v>
      </c>
      <c r="C10" s="2" t="s">
        <v>20</v>
      </c>
      <c r="D10" s="2" t="s">
        <v>2</v>
      </c>
      <c r="E10" s="2" t="s">
        <v>21</v>
      </c>
      <c r="F10" s="2" t="s">
        <v>16</v>
      </c>
      <c r="G10" s="2">
        <v>0</v>
      </c>
      <c r="H10" s="2">
        <v>0</v>
      </c>
      <c r="I10" s="2">
        <v>0</v>
      </c>
      <c r="J10" s="2">
        <v>0</v>
      </c>
      <c r="K10" s="6"/>
      <c r="L10" s="7">
        <f t="shared" ref="L10:L18" si="4">K10*1.3</f>
        <v>0</v>
      </c>
      <c r="M10" s="2">
        <f t="shared" si="3"/>
        <v>0</v>
      </c>
      <c r="N10" s="2" t="s">
        <v>17</v>
      </c>
      <c r="O10" s="8"/>
    </row>
    <row r="11" spans="1:15" x14ac:dyDescent="0.35">
      <c r="A11" s="4" t="s">
        <v>24</v>
      </c>
      <c r="B11" s="2" t="s">
        <v>25</v>
      </c>
      <c r="C11" s="2" t="s">
        <v>20</v>
      </c>
      <c r="D11" s="2" t="s">
        <v>2</v>
      </c>
      <c r="E11" s="2" t="s">
        <v>21</v>
      </c>
      <c r="F11" s="2" t="s">
        <v>16</v>
      </c>
      <c r="G11" s="2">
        <v>0</v>
      </c>
      <c r="H11" s="2">
        <v>0</v>
      </c>
      <c r="I11" s="2">
        <v>0</v>
      </c>
      <c r="J11" s="2">
        <v>0</v>
      </c>
      <c r="K11" s="6">
        <v>36590</v>
      </c>
      <c r="L11" s="7">
        <f t="shared" si="4"/>
        <v>47567</v>
      </c>
      <c r="M11" s="2">
        <f t="shared" si="3"/>
        <v>0</v>
      </c>
      <c r="N11" s="2" t="s">
        <v>17</v>
      </c>
      <c r="O11" s="8"/>
    </row>
    <row r="12" spans="1:15" x14ac:dyDescent="0.35">
      <c r="A12" s="4" t="s">
        <v>26</v>
      </c>
      <c r="B12" s="2" t="s">
        <v>27</v>
      </c>
      <c r="C12" s="2" t="s">
        <v>20</v>
      </c>
      <c r="D12" s="2" t="s">
        <v>2</v>
      </c>
      <c r="E12" s="2" t="s">
        <v>21</v>
      </c>
      <c r="F12" s="2" t="s">
        <v>16</v>
      </c>
      <c r="G12" s="2">
        <v>0</v>
      </c>
      <c r="H12" s="2">
        <v>0</v>
      </c>
      <c r="I12" s="2">
        <v>0</v>
      </c>
      <c r="J12" s="2">
        <v>0</v>
      </c>
      <c r="K12" s="6">
        <v>44000</v>
      </c>
      <c r="L12" s="7">
        <f t="shared" si="4"/>
        <v>57200</v>
      </c>
      <c r="M12" s="2">
        <f t="shared" si="3"/>
        <v>0</v>
      </c>
      <c r="N12" s="2" t="s">
        <v>17</v>
      </c>
      <c r="O12" s="8"/>
    </row>
    <row r="13" spans="1:15" x14ac:dyDescent="0.35">
      <c r="A13" s="4" t="s">
        <v>28</v>
      </c>
      <c r="B13" s="2" t="s">
        <v>29</v>
      </c>
      <c r="C13" s="2" t="s">
        <v>20</v>
      </c>
      <c r="D13" s="2" t="s">
        <v>2</v>
      </c>
      <c r="E13" s="2" t="s">
        <v>21</v>
      </c>
      <c r="F13" s="2" t="s">
        <v>16</v>
      </c>
      <c r="G13" s="2">
        <v>0</v>
      </c>
      <c r="H13" s="2">
        <v>0</v>
      </c>
      <c r="I13" s="2">
        <v>0</v>
      </c>
      <c r="J13" s="2">
        <v>0</v>
      </c>
      <c r="K13" s="6">
        <v>45505</v>
      </c>
      <c r="L13" s="7">
        <f t="shared" si="4"/>
        <v>59156.5</v>
      </c>
      <c r="M13" s="2">
        <f t="shared" si="3"/>
        <v>0</v>
      </c>
      <c r="N13" s="2" t="s">
        <v>17</v>
      </c>
      <c r="O13" s="8"/>
    </row>
    <row r="14" spans="1:15" x14ac:dyDescent="0.35">
      <c r="A14" s="4" t="s">
        <v>30</v>
      </c>
      <c r="B14" s="2" t="s">
        <v>31</v>
      </c>
      <c r="C14" s="2" t="s">
        <v>20</v>
      </c>
      <c r="D14" s="2" t="s">
        <v>2</v>
      </c>
      <c r="E14" s="2" t="s">
        <v>21</v>
      </c>
      <c r="F14" s="2" t="s">
        <v>16</v>
      </c>
      <c r="G14" s="2">
        <v>0</v>
      </c>
      <c r="H14" s="2">
        <v>0</v>
      </c>
      <c r="I14" s="2">
        <v>0</v>
      </c>
      <c r="J14" s="2">
        <v>0</v>
      </c>
      <c r="K14" s="6">
        <v>62411</v>
      </c>
      <c r="L14" s="7">
        <f t="shared" si="4"/>
        <v>81134.3</v>
      </c>
      <c r="M14" s="2">
        <f t="shared" si="3"/>
        <v>0</v>
      </c>
      <c r="N14" s="2" t="s">
        <v>17</v>
      </c>
      <c r="O14" s="8"/>
    </row>
    <row r="15" spans="1:15" x14ac:dyDescent="0.35">
      <c r="A15" s="4" t="s">
        <v>32</v>
      </c>
      <c r="B15" s="2" t="s">
        <v>33</v>
      </c>
      <c r="C15" s="2" t="s">
        <v>20</v>
      </c>
      <c r="D15" s="2" t="s">
        <v>2</v>
      </c>
      <c r="E15" s="2" t="s">
        <v>21</v>
      </c>
      <c r="F15" s="2" t="s">
        <v>16</v>
      </c>
      <c r="G15" s="2">
        <v>0</v>
      </c>
      <c r="H15" s="2">
        <v>0</v>
      </c>
      <c r="I15" s="2">
        <v>0</v>
      </c>
      <c r="J15" s="2">
        <v>0</v>
      </c>
      <c r="K15" s="6">
        <v>70633</v>
      </c>
      <c r="L15" s="7">
        <f t="shared" si="4"/>
        <v>91822.900000000009</v>
      </c>
      <c r="M15" s="2">
        <f t="shared" si="3"/>
        <v>0</v>
      </c>
      <c r="N15" s="2" t="s">
        <v>17</v>
      </c>
      <c r="O15" s="8"/>
    </row>
    <row r="16" spans="1:15" x14ac:dyDescent="0.35">
      <c r="A16" s="4" t="s">
        <v>34</v>
      </c>
      <c r="B16" s="2" t="s">
        <v>35</v>
      </c>
      <c r="C16" s="2" t="s">
        <v>20</v>
      </c>
      <c r="D16" s="2" t="s">
        <v>2</v>
      </c>
      <c r="E16" s="2" t="s">
        <v>21</v>
      </c>
      <c r="F16" s="2" t="s">
        <v>16</v>
      </c>
      <c r="G16" s="2">
        <v>0</v>
      </c>
      <c r="H16" s="2">
        <v>0</v>
      </c>
      <c r="I16" s="2">
        <v>0</v>
      </c>
      <c r="J16" s="2">
        <v>0</v>
      </c>
      <c r="K16" s="6">
        <v>98537</v>
      </c>
      <c r="L16" s="7">
        <f t="shared" si="4"/>
        <v>128098.1</v>
      </c>
      <c r="M16" s="2">
        <f t="shared" si="3"/>
        <v>0</v>
      </c>
      <c r="N16" s="2" t="s">
        <v>17</v>
      </c>
      <c r="O16" s="8"/>
    </row>
    <row r="17" spans="1:15" x14ac:dyDescent="0.35">
      <c r="A17" s="4" t="s">
        <v>36</v>
      </c>
      <c r="B17" s="2" t="s">
        <v>37</v>
      </c>
      <c r="C17" s="2" t="s">
        <v>20</v>
      </c>
      <c r="D17" s="2" t="s">
        <v>2</v>
      </c>
      <c r="E17" s="2" t="s">
        <v>21</v>
      </c>
      <c r="F17" s="2" t="s">
        <v>16</v>
      </c>
      <c r="G17" s="2">
        <v>0</v>
      </c>
      <c r="H17" s="2">
        <v>0</v>
      </c>
      <c r="I17" s="2">
        <v>0</v>
      </c>
      <c r="J17" s="2">
        <v>0</v>
      </c>
      <c r="K17" s="6">
        <v>117989</v>
      </c>
      <c r="L17" s="7">
        <f t="shared" si="4"/>
        <v>153385.70000000001</v>
      </c>
      <c r="M17" s="2">
        <f t="shared" si="3"/>
        <v>0</v>
      </c>
      <c r="N17" s="2" t="s">
        <v>17</v>
      </c>
      <c r="O17" s="8"/>
    </row>
    <row r="18" spans="1:15" x14ac:dyDescent="0.35">
      <c r="A18" s="4" t="s">
        <v>38</v>
      </c>
      <c r="B18" s="2" t="s">
        <v>39</v>
      </c>
      <c r="C18" s="2" t="s">
        <v>20</v>
      </c>
      <c r="D18" s="2" t="s">
        <v>2</v>
      </c>
      <c r="E18" s="2" t="s">
        <v>21</v>
      </c>
      <c r="F18" s="2" t="s">
        <v>16</v>
      </c>
      <c r="G18" s="2">
        <v>0</v>
      </c>
      <c r="H18" s="2">
        <v>0</v>
      </c>
      <c r="I18" s="2">
        <v>0</v>
      </c>
      <c r="J18" s="2">
        <v>0</v>
      </c>
      <c r="K18" s="6">
        <v>148674</v>
      </c>
      <c r="L18" s="7">
        <f t="shared" si="4"/>
        <v>193276.2</v>
      </c>
      <c r="M18" s="2">
        <f t="shared" si="3"/>
        <v>0</v>
      </c>
      <c r="N18" s="2" t="s">
        <v>17</v>
      </c>
      <c r="O18" s="8"/>
    </row>
    <row r="19" spans="1:15" x14ac:dyDescent="0.35">
      <c r="A19" s="4" t="s">
        <v>40</v>
      </c>
      <c r="B19" s="2" t="s">
        <v>41</v>
      </c>
      <c r="C19" s="2" t="s">
        <v>20</v>
      </c>
      <c r="D19" s="2" t="s">
        <v>2</v>
      </c>
      <c r="E19" s="2" t="s">
        <v>21</v>
      </c>
      <c r="F19" s="2" t="s">
        <v>16</v>
      </c>
      <c r="G19" s="2">
        <v>0</v>
      </c>
      <c r="H19" s="2">
        <v>0</v>
      </c>
      <c r="I19" s="2">
        <v>0</v>
      </c>
      <c r="J19" s="2">
        <v>0</v>
      </c>
      <c r="K19" s="10">
        <f t="shared" ref="K19:K25" si="5">L19/1.3</f>
        <v>12822.000000000002</v>
      </c>
      <c r="L19" s="7">
        <v>16668.600000000002</v>
      </c>
      <c r="M19" s="2">
        <f t="shared" si="3"/>
        <v>0</v>
      </c>
      <c r="N19" s="2" t="s">
        <v>17</v>
      </c>
      <c r="O19" s="8"/>
    </row>
    <row r="20" spans="1:15" x14ac:dyDescent="0.35">
      <c r="A20" s="4" t="s">
        <v>42</v>
      </c>
      <c r="B20" s="2" t="s">
        <v>43</v>
      </c>
      <c r="C20" s="2" t="s">
        <v>20</v>
      </c>
      <c r="D20" s="2" t="s">
        <v>2</v>
      </c>
      <c r="E20" s="2" t="s">
        <v>21</v>
      </c>
      <c r="F20" s="2" t="s">
        <v>16</v>
      </c>
      <c r="G20" s="2">
        <v>0</v>
      </c>
      <c r="H20" s="2">
        <v>0</v>
      </c>
      <c r="I20" s="2">
        <v>0</v>
      </c>
      <c r="J20" s="2">
        <v>0</v>
      </c>
      <c r="K20" s="10">
        <f t="shared" si="5"/>
        <v>15617.000000000002</v>
      </c>
      <c r="L20" s="7">
        <v>20302.100000000002</v>
      </c>
      <c r="M20" s="2">
        <f t="shared" si="3"/>
        <v>0</v>
      </c>
      <c r="N20" s="2" t="s">
        <v>17</v>
      </c>
      <c r="O20" s="8"/>
    </row>
    <row r="21" spans="1:15" x14ac:dyDescent="0.35">
      <c r="A21" s="4" t="s">
        <v>44</v>
      </c>
      <c r="B21" s="2" t="s">
        <v>45</v>
      </c>
      <c r="C21" s="2" t="s">
        <v>20</v>
      </c>
      <c r="D21" s="2" t="s">
        <v>2</v>
      </c>
      <c r="E21" s="2" t="s">
        <v>21</v>
      </c>
      <c r="F21" s="2" t="s">
        <v>16</v>
      </c>
      <c r="G21" s="2">
        <v>5</v>
      </c>
      <c r="H21" s="2">
        <v>0</v>
      </c>
      <c r="I21" s="2">
        <v>5</v>
      </c>
      <c r="J21" s="2">
        <v>0</v>
      </c>
      <c r="K21" s="10">
        <f t="shared" si="5"/>
        <v>19472</v>
      </c>
      <c r="L21" s="7">
        <v>25313.600000000002</v>
      </c>
      <c r="M21" s="2">
        <f t="shared" si="3"/>
        <v>97360</v>
      </c>
      <c r="N21" s="2" t="s">
        <v>46</v>
      </c>
      <c r="O21" s="8"/>
    </row>
    <row r="22" spans="1:15" x14ac:dyDescent="0.35">
      <c r="A22" s="4" t="s">
        <v>47</v>
      </c>
      <c r="B22" s="2" t="s">
        <v>48</v>
      </c>
      <c r="C22" s="2" t="s">
        <v>20</v>
      </c>
      <c r="D22" s="2" t="s">
        <v>2</v>
      </c>
      <c r="E22" s="2" t="s">
        <v>21</v>
      </c>
      <c r="F22" s="2" t="s">
        <v>16</v>
      </c>
      <c r="G22" s="2">
        <v>0</v>
      </c>
      <c r="H22" s="2">
        <v>0</v>
      </c>
      <c r="I22" s="2">
        <v>0</v>
      </c>
      <c r="J22" s="2">
        <v>0</v>
      </c>
      <c r="K22" s="10">
        <f t="shared" si="5"/>
        <v>21015</v>
      </c>
      <c r="L22" s="7">
        <v>27319.5</v>
      </c>
      <c r="M22" s="2">
        <f t="shared" ref="M22:M72" si="6">SUM(I22)*K22</f>
        <v>0</v>
      </c>
      <c r="N22" s="2" t="s">
        <v>17</v>
      </c>
      <c r="O22" s="8"/>
    </row>
    <row r="23" spans="1:15" x14ac:dyDescent="0.35">
      <c r="A23" s="4" t="s">
        <v>49</v>
      </c>
      <c r="B23" s="2" t="s">
        <v>50</v>
      </c>
      <c r="C23" s="2" t="s">
        <v>20</v>
      </c>
      <c r="D23" s="2" t="s">
        <v>2</v>
      </c>
      <c r="E23" s="2" t="s">
        <v>21</v>
      </c>
      <c r="F23" s="2" t="s">
        <v>16</v>
      </c>
      <c r="G23" s="2">
        <v>1</v>
      </c>
      <c r="H23" s="2">
        <v>0</v>
      </c>
      <c r="I23" s="2">
        <v>1</v>
      </c>
      <c r="J23" s="2">
        <v>0</v>
      </c>
      <c r="K23" s="10">
        <f t="shared" si="5"/>
        <v>24678</v>
      </c>
      <c r="L23" s="7">
        <v>32081.4</v>
      </c>
      <c r="M23" s="2">
        <f t="shared" si="6"/>
        <v>24678</v>
      </c>
      <c r="N23" s="2" t="s">
        <v>46</v>
      </c>
      <c r="O23" s="8"/>
    </row>
    <row r="24" spans="1:15" x14ac:dyDescent="0.35">
      <c r="A24" s="4" t="s">
        <v>51</v>
      </c>
      <c r="B24" s="2" t="s">
        <v>52</v>
      </c>
      <c r="C24" s="2" t="s">
        <v>20</v>
      </c>
      <c r="D24" s="2" t="s">
        <v>2</v>
      </c>
      <c r="E24" s="2" t="s">
        <v>21</v>
      </c>
      <c r="F24" s="2" t="s">
        <v>16</v>
      </c>
      <c r="G24" s="2">
        <v>2</v>
      </c>
      <c r="H24" s="2">
        <v>0</v>
      </c>
      <c r="I24" s="2">
        <v>2</v>
      </c>
      <c r="J24" s="2">
        <v>0</v>
      </c>
      <c r="K24" s="10">
        <f t="shared" si="5"/>
        <v>30656</v>
      </c>
      <c r="L24" s="7">
        <v>39852.800000000003</v>
      </c>
      <c r="M24" s="2">
        <f t="shared" si="6"/>
        <v>61312</v>
      </c>
      <c r="N24" s="2" t="s">
        <v>46</v>
      </c>
      <c r="O24" s="8"/>
    </row>
    <row r="25" spans="1:15" x14ac:dyDescent="0.35">
      <c r="A25" s="4" t="s">
        <v>53</v>
      </c>
      <c r="B25" s="2" t="s">
        <v>54</v>
      </c>
      <c r="C25" s="2" t="s">
        <v>20</v>
      </c>
      <c r="D25" s="2" t="s">
        <v>2</v>
      </c>
      <c r="E25" s="2" t="s">
        <v>21</v>
      </c>
      <c r="F25" s="2" t="s">
        <v>16</v>
      </c>
      <c r="G25" s="2">
        <v>0</v>
      </c>
      <c r="H25" s="2">
        <v>0</v>
      </c>
      <c r="I25" s="2">
        <v>0</v>
      </c>
      <c r="J25" s="2">
        <v>0</v>
      </c>
      <c r="K25" s="10">
        <f t="shared" si="5"/>
        <v>37433</v>
      </c>
      <c r="L25" s="7">
        <v>48662.9</v>
      </c>
      <c r="M25" s="2">
        <f t="shared" si="6"/>
        <v>0</v>
      </c>
      <c r="N25" s="2" t="s">
        <v>17</v>
      </c>
      <c r="O25" s="8"/>
    </row>
    <row r="26" spans="1:15" x14ac:dyDescent="0.35">
      <c r="A26" s="4" t="s">
        <v>55</v>
      </c>
      <c r="B26" s="2" t="s">
        <v>56</v>
      </c>
      <c r="C26" s="2" t="s">
        <v>20</v>
      </c>
      <c r="D26" s="2" t="s">
        <v>2</v>
      </c>
      <c r="E26" s="2" t="s">
        <v>21</v>
      </c>
      <c r="F26" s="2" t="s">
        <v>16</v>
      </c>
      <c r="G26" s="2">
        <v>5</v>
      </c>
      <c r="H26" s="2">
        <v>0</v>
      </c>
      <c r="I26" s="2">
        <v>5</v>
      </c>
      <c r="J26" s="2">
        <v>0</v>
      </c>
      <c r="K26" s="11">
        <v>6318</v>
      </c>
      <c r="L26" s="7">
        <v>8304.4</v>
      </c>
      <c r="M26" s="2">
        <f t="shared" si="6"/>
        <v>31590</v>
      </c>
      <c r="N26" s="2" t="s">
        <v>46</v>
      </c>
      <c r="O26" s="8"/>
    </row>
    <row r="27" spans="1:15" x14ac:dyDescent="0.35">
      <c r="A27" s="4" t="s">
        <v>57</v>
      </c>
      <c r="B27" s="2" t="s">
        <v>58</v>
      </c>
      <c r="C27" s="2" t="s">
        <v>20</v>
      </c>
      <c r="D27" s="2" t="s">
        <v>2</v>
      </c>
      <c r="E27" s="2" t="s">
        <v>21</v>
      </c>
      <c r="F27" s="2" t="s">
        <v>16</v>
      </c>
      <c r="G27" s="2">
        <v>0</v>
      </c>
      <c r="H27" s="2">
        <v>0</v>
      </c>
      <c r="I27" s="2">
        <v>0</v>
      </c>
      <c r="J27" s="2">
        <v>0</v>
      </c>
      <c r="K27" s="11">
        <v>7693</v>
      </c>
      <c r="L27" s="7">
        <v>10038.08</v>
      </c>
      <c r="M27" s="2">
        <f t="shared" si="6"/>
        <v>0</v>
      </c>
      <c r="N27" s="2" t="s">
        <v>17</v>
      </c>
      <c r="O27" s="8"/>
    </row>
    <row r="28" spans="1:15" x14ac:dyDescent="0.35">
      <c r="A28" s="4" t="s">
        <v>59</v>
      </c>
      <c r="B28" s="2" t="s">
        <v>60</v>
      </c>
      <c r="C28" s="2" t="s">
        <v>20</v>
      </c>
      <c r="D28" s="2" t="s">
        <v>2</v>
      </c>
      <c r="E28" s="2" t="s">
        <v>21</v>
      </c>
      <c r="F28" s="2" t="s">
        <v>16</v>
      </c>
      <c r="G28" s="2">
        <v>4</v>
      </c>
      <c r="H28" s="2">
        <v>0</v>
      </c>
      <c r="I28" s="2">
        <v>4</v>
      </c>
      <c r="J28" s="2">
        <v>0</v>
      </c>
      <c r="K28" s="11">
        <v>10440</v>
      </c>
      <c r="L28" s="7">
        <v>13676</v>
      </c>
      <c r="M28" s="2">
        <f t="shared" si="6"/>
        <v>41760</v>
      </c>
      <c r="N28" s="2" t="s">
        <v>46</v>
      </c>
      <c r="O28" s="8"/>
    </row>
    <row r="29" spans="1:15" x14ac:dyDescent="0.35">
      <c r="A29" s="4" t="s">
        <v>61</v>
      </c>
      <c r="B29" s="2" t="s">
        <v>62</v>
      </c>
      <c r="C29" s="2" t="s">
        <v>20</v>
      </c>
      <c r="D29" s="2" t="s">
        <v>2</v>
      </c>
      <c r="E29" s="2" t="s">
        <v>21</v>
      </c>
      <c r="F29" s="2" t="s">
        <v>16</v>
      </c>
      <c r="G29" s="2">
        <v>0</v>
      </c>
      <c r="H29" s="2">
        <v>0</v>
      </c>
      <c r="I29" s="2">
        <v>0</v>
      </c>
      <c r="J29" s="2">
        <v>0</v>
      </c>
      <c r="K29" s="11">
        <v>10806</v>
      </c>
      <c r="L29" s="7">
        <v>14102.4</v>
      </c>
      <c r="M29" s="2">
        <f t="shared" si="6"/>
        <v>0</v>
      </c>
      <c r="N29" s="2" t="s">
        <v>17</v>
      </c>
      <c r="O29" s="8"/>
    </row>
    <row r="30" spans="1:15" x14ac:dyDescent="0.35">
      <c r="A30" s="4" t="s">
        <v>63</v>
      </c>
      <c r="B30" s="2" t="s">
        <v>64</v>
      </c>
      <c r="C30" s="2" t="s">
        <v>20</v>
      </c>
      <c r="D30" s="2" t="s">
        <v>2</v>
      </c>
      <c r="E30" s="2" t="s">
        <v>21</v>
      </c>
      <c r="F30" s="2" t="s">
        <v>16</v>
      </c>
      <c r="G30" s="2">
        <v>0</v>
      </c>
      <c r="H30" s="2">
        <v>0</v>
      </c>
      <c r="I30" s="2">
        <v>0</v>
      </c>
      <c r="J30" s="2">
        <v>0</v>
      </c>
      <c r="K30" s="11">
        <v>13188</v>
      </c>
      <c r="L30" s="7">
        <v>17316</v>
      </c>
      <c r="M30" s="2">
        <f t="shared" si="6"/>
        <v>0</v>
      </c>
      <c r="N30" s="2" t="s">
        <v>17</v>
      </c>
      <c r="O30" s="8"/>
    </row>
    <row r="31" spans="1:15" x14ac:dyDescent="0.35">
      <c r="A31" s="4" t="s">
        <v>65</v>
      </c>
      <c r="B31" s="2" t="s">
        <v>66</v>
      </c>
      <c r="C31" s="2" t="s">
        <v>20</v>
      </c>
      <c r="D31" s="2" t="s">
        <v>2</v>
      </c>
      <c r="E31" s="2" t="s">
        <v>21</v>
      </c>
      <c r="F31" s="2" t="s">
        <v>16</v>
      </c>
      <c r="G31" s="2">
        <v>2</v>
      </c>
      <c r="H31" s="2">
        <v>0</v>
      </c>
      <c r="I31" s="2">
        <v>2</v>
      </c>
      <c r="J31" s="2">
        <v>0</v>
      </c>
      <c r="K31" s="11">
        <v>17034</v>
      </c>
      <c r="L31" s="7">
        <v>22412</v>
      </c>
      <c r="M31" s="2">
        <f t="shared" si="6"/>
        <v>34068</v>
      </c>
      <c r="N31" s="2" t="s">
        <v>46</v>
      </c>
      <c r="O31" s="8"/>
    </row>
    <row r="32" spans="1:15" x14ac:dyDescent="0.35">
      <c r="A32" s="4" t="s">
        <v>67</v>
      </c>
      <c r="B32" s="2" t="s">
        <v>68</v>
      </c>
      <c r="C32" s="2" t="s">
        <v>20</v>
      </c>
      <c r="D32" s="2" t="s">
        <v>2</v>
      </c>
      <c r="E32" s="2" t="s">
        <v>21</v>
      </c>
      <c r="F32" s="2" t="s">
        <v>16</v>
      </c>
      <c r="G32" s="2">
        <v>0</v>
      </c>
      <c r="H32" s="2">
        <v>0</v>
      </c>
      <c r="I32" s="2">
        <v>0</v>
      </c>
      <c r="J32" s="2">
        <v>0</v>
      </c>
      <c r="K32" s="11">
        <v>22070</v>
      </c>
      <c r="L32" s="7">
        <v>28979.600000000002</v>
      </c>
      <c r="M32" s="2">
        <f t="shared" si="6"/>
        <v>0</v>
      </c>
      <c r="N32" s="2" t="s">
        <v>17</v>
      </c>
      <c r="O32" s="8"/>
    </row>
    <row r="33" spans="1:15" x14ac:dyDescent="0.35">
      <c r="A33" s="4" t="s">
        <v>69</v>
      </c>
      <c r="B33" s="2" t="s">
        <v>70</v>
      </c>
      <c r="C33" s="2" t="s">
        <v>20</v>
      </c>
      <c r="D33" s="2" t="s">
        <v>2</v>
      </c>
      <c r="E33" s="2" t="s">
        <v>21</v>
      </c>
      <c r="F33" s="2" t="s">
        <v>16</v>
      </c>
      <c r="G33" s="2">
        <v>0</v>
      </c>
      <c r="H33" s="2">
        <v>0</v>
      </c>
      <c r="I33" s="2">
        <v>0</v>
      </c>
      <c r="J33" s="2">
        <v>0</v>
      </c>
      <c r="K33" s="11">
        <v>25643</v>
      </c>
      <c r="L33" s="7">
        <v>33604.480000000003</v>
      </c>
      <c r="M33" s="2">
        <f t="shared" si="6"/>
        <v>0</v>
      </c>
      <c r="N33" s="2" t="s">
        <v>17</v>
      </c>
      <c r="O33" s="8"/>
    </row>
    <row r="34" spans="1:15" x14ac:dyDescent="0.35">
      <c r="A34" s="4" t="s">
        <v>71</v>
      </c>
      <c r="B34" s="2" t="s">
        <v>72</v>
      </c>
      <c r="C34" s="2" t="s">
        <v>20</v>
      </c>
      <c r="D34" s="2" t="s">
        <v>2</v>
      </c>
      <c r="E34" s="2" t="s">
        <v>21</v>
      </c>
      <c r="F34" s="2" t="s">
        <v>16</v>
      </c>
      <c r="G34" s="2">
        <v>0</v>
      </c>
      <c r="H34" s="2">
        <v>0</v>
      </c>
      <c r="I34" s="2">
        <v>0</v>
      </c>
      <c r="J34" s="2">
        <v>0</v>
      </c>
      <c r="K34" s="11">
        <v>41120</v>
      </c>
      <c r="L34" s="7">
        <v>55296.800000000003</v>
      </c>
      <c r="M34" s="2">
        <f t="shared" si="6"/>
        <v>0</v>
      </c>
      <c r="N34" s="2" t="s">
        <v>17</v>
      </c>
      <c r="O34" s="8"/>
    </row>
    <row r="35" spans="1:15" x14ac:dyDescent="0.35">
      <c r="A35" s="4" t="s">
        <v>73</v>
      </c>
      <c r="B35" s="2" t="s">
        <v>74</v>
      </c>
      <c r="C35" s="2" t="s">
        <v>20</v>
      </c>
      <c r="D35" s="2" t="s">
        <v>2</v>
      </c>
      <c r="E35" s="2" t="s">
        <v>21</v>
      </c>
      <c r="F35" s="2" t="s">
        <v>16</v>
      </c>
      <c r="G35" s="2">
        <v>0</v>
      </c>
      <c r="H35" s="2">
        <v>0</v>
      </c>
      <c r="I35" s="2">
        <v>0</v>
      </c>
      <c r="J35" s="2">
        <v>0</v>
      </c>
      <c r="K35" s="11">
        <v>47714</v>
      </c>
      <c r="L35" s="7">
        <v>65114.400000000001</v>
      </c>
      <c r="M35" s="2">
        <f t="shared" si="6"/>
        <v>0</v>
      </c>
      <c r="N35" s="2" t="s">
        <v>17</v>
      </c>
      <c r="O35" s="8"/>
    </row>
    <row r="36" spans="1:15" x14ac:dyDescent="0.35">
      <c r="A36" s="4" t="s">
        <v>75</v>
      </c>
      <c r="B36" s="2" t="s">
        <v>76</v>
      </c>
      <c r="C36" s="2" t="s">
        <v>20</v>
      </c>
      <c r="D36" s="2" t="s">
        <v>2</v>
      </c>
      <c r="E36" s="2" t="s">
        <v>21</v>
      </c>
      <c r="F36" s="2" t="s">
        <v>16</v>
      </c>
      <c r="G36" s="2">
        <v>0</v>
      </c>
      <c r="H36" s="2">
        <v>0</v>
      </c>
      <c r="I36" s="2">
        <v>0</v>
      </c>
      <c r="J36" s="2">
        <v>0</v>
      </c>
      <c r="K36" s="11">
        <v>65115</v>
      </c>
      <c r="L36" s="7">
        <v>89059.36</v>
      </c>
      <c r="M36" s="2">
        <f t="shared" si="6"/>
        <v>0</v>
      </c>
      <c r="N36" s="2" t="s">
        <v>17</v>
      </c>
      <c r="O36" s="8"/>
    </row>
    <row r="37" spans="1:15" x14ac:dyDescent="0.35">
      <c r="A37" s="4" t="s">
        <v>77</v>
      </c>
      <c r="B37" s="2" t="s">
        <v>78</v>
      </c>
      <c r="C37" s="2" t="s">
        <v>20</v>
      </c>
      <c r="D37" s="2" t="s">
        <v>2</v>
      </c>
      <c r="E37" s="2" t="s">
        <v>21</v>
      </c>
      <c r="F37" s="2" t="s">
        <v>16</v>
      </c>
      <c r="G37" s="2">
        <v>0</v>
      </c>
      <c r="H37" s="2">
        <v>0</v>
      </c>
      <c r="I37" s="2">
        <v>0</v>
      </c>
      <c r="J37" s="2">
        <v>0</v>
      </c>
      <c r="K37" s="11">
        <v>67115</v>
      </c>
      <c r="L37" s="7">
        <v>92723.280000000013</v>
      </c>
      <c r="M37" s="2">
        <f t="shared" si="6"/>
        <v>0</v>
      </c>
      <c r="N37" s="2" t="s">
        <v>17</v>
      </c>
      <c r="O37" s="8"/>
    </row>
    <row r="38" spans="1:15" x14ac:dyDescent="0.35">
      <c r="A38" s="4" t="s">
        <v>79</v>
      </c>
      <c r="B38" s="2" t="s">
        <v>80</v>
      </c>
      <c r="C38" s="2" t="s">
        <v>20</v>
      </c>
      <c r="D38" s="2" t="s">
        <v>2</v>
      </c>
      <c r="E38" s="2" t="s">
        <v>21</v>
      </c>
      <c r="F38" s="2" t="s">
        <v>16</v>
      </c>
      <c r="G38" s="2">
        <v>0</v>
      </c>
      <c r="H38" s="2">
        <v>0</v>
      </c>
      <c r="I38" s="2">
        <v>0</v>
      </c>
      <c r="J38" s="2">
        <v>0</v>
      </c>
      <c r="K38" s="11">
        <v>75006</v>
      </c>
      <c r="L38" s="7">
        <v>103500.8</v>
      </c>
      <c r="M38" s="2">
        <f t="shared" si="6"/>
        <v>0</v>
      </c>
      <c r="N38" s="2" t="s">
        <v>17</v>
      </c>
      <c r="O38" s="8"/>
    </row>
    <row r="39" spans="1:15" x14ac:dyDescent="0.35">
      <c r="A39" s="4" t="s">
        <v>81</v>
      </c>
      <c r="B39" s="2" t="s">
        <v>82</v>
      </c>
      <c r="C39" s="2" t="s">
        <v>20</v>
      </c>
      <c r="D39" s="2" t="s">
        <v>2</v>
      </c>
      <c r="E39" s="2" t="s">
        <v>21</v>
      </c>
      <c r="F39" s="2" t="s">
        <v>16</v>
      </c>
      <c r="G39" s="2">
        <v>0</v>
      </c>
      <c r="H39" s="2">
        <v>0</v>
      </c>
      <c r="I39" s="2">
        <v>0</v>
      </c>
      <c r="J39" s="2">
        <v>0</v>
      </c>
      <c r="K39" s="11">
        <v>91702</v>
      </c>
      <c r="L39" s="7">
        <v>132132</v>
      </c>
      <c r="M39" s="2">
        <f t="shared" si="6"/>
        <v>0</v>
      </c>
      <c r="N39" s="2" t="s">
        <v>17</v>
      </c>
      <c r="O39" s="8"/>
    </row>
    <row r="40" spans="1:15" x14ac:dyDescent="0.35">
      <c r="A40" s="4" t="s">
        <v>83</v>
      </c>
      <c r="B40" s="2" t="s">
        <v>84</v>
      </c>
      <c r="C40" s="2" t="s">
        <v>20</v>
      </c>
      <c r="D40" s="2" t="s">
        <v>2</v>
      </c>
      <c r="E40" s="2" t="s">
        <v>21</v>
      </c>
      <c r="F40" s="2" t="s">
        <v>16</v>
      </c>
      <c r="G40" s="2">
        <v>0</v>
      </c>
      <c r="H40" s="2">
        <v>0</v>
      </c>
      <c r="I40" s="2">
        <v>0</v>
      </c>
      <c r="J40" s="2">
        <v>0</v>
      </c>
      <c r="K40" s="11">
        <v>114630</v>
      </c>
      <c r="L40" s="7">
        <v>156644.80000000002</v>
      </c>
      <c r="M40" s="2">
        <f t="shared" si="6"/>
        <v>0</v>
      </c>
      <c r="N40" s="2" t="s">
        <v>17</v>
      </c>
      <c r="O40" s="8"/>
    </row>
    <row r="41" spans="1:15" x14ac:dyDescent="0.35">
      <c r="A41" s="4" t="s">
        <v>85</v>
      </c>
      <c r="B41" s="2" t="s">
        <v>86</v>
      </c>
      <c r="C41" s="2" t="s">
        <v>20</v>
      </c>
      <c r="D41" s="2" t="s">
        <v>2</v>
      </c>
      <c r="E41" s="2" t="s">
        <v>21</v>
      </c>
      <c r="F41" s="2" t="s">
        <v>16</v>
      </c>
      <c r="G41" s="2">
        <v>0</v>
      </c>
      <c r="H41" s="2">
        <v>0</v>
      </c>
      <c r="I41" s="2">
        <v>0</v>
      </c>
      <c r="J41" s="2">
        <v>0</v>
      </c>
      <c r="K41" s="11">
        <v>125310</v>
      </c>
      <c r="L41" s="7">
        <v>182606.32</v>
      </c>
      <c r="M41" s="2">
        <f t="shared" si="6"/>
        <v>0</v>
      </c>
      <c r="N41" s="2" t="s">
        <v>17</v>
      </c>
      <c r="O41" s="8"/>
    </row>
    <row r="42" spans="1:15" x14ac:dyDescent="0.35">
      <c r="A42" s="4" t="s">
        <v>87</v>
      </c>
      <c r="B42" s="2" t="s">
        <v>88</v>
      </c>
      <c r="C42" s="2" t="s">
        <v>20</v>
      </c>
      <c r="D42" s="2" t="s">
        <v>2</v>
      </c>
      <c r="E42" s="2" t="s">
        <v>21</v>
      </c>
      <c r="F42" s="2" t="s">
        <v>16</v>
      </c>
      <c r="G42" s="2">
        <v>0</v>
      </c>
      <c r="H42" s="2">
        <v>0</v>
      </c>
      <c r="I42" s="2">
        <v>0</v>
      </c>
      <c r="J42" s="2">
        <v>0</v>
      </c>
      <c r="K42" s="11">
        <v>179590</v>
      </c>
      <c r="L42" s="7">
        <v>271294.40000000002</v>
      </c>
      <c r="M42" s="2">
        <f t="shared" si="6"/>
        <v>0</v>
      </c>
      <c r="N42" s="2" t="s">
        <v>17</v>
      </c>
      <c r="O42" s="8"/>
    </row>
    <row r="43" spans="1:15" x14ac:dyDescent="0.35">
      <c r="A43" s="4" t="s">
        <v>89</v>
      </c>
      <c r="B43" s="2" t="s">
        <v>90</v>
      </c>
      <c r="C43" s="2" t="s">
        <v>20</v>
      </c>
      <c r="D43" s="2" t="s">
        <v>2</v>
      </c>
      <c r="E43" s="2" t="s">
        <v>21</v>
      </c>
      <c r="F43" s="2" t="s">
        <v>16</v>
      </c>
      <c r="G43" s="2">
        <v>0</v>
      </c>
      <c r="H43" s="2">
        <v>0</v>
      </c>
      <c r="I43" s="2">
        <v>0</v>
      </c>
      <c r="J43" s="2">
        <v>0</v>
      </c>
      <c r="K43" s="11">
        <v>227940</v>
      </c>
      <c r="L43" s="7">
        <v>351083.2</v>
      </c>
      <c r="M43" s="2">
        <f t="shared" si="6"/>
        <v>0</v>
      </c>
      <c r="N43" s="2" t="s">
        <v>17</v>
      </c>
      <c r="O43" s="8"/>
    </row>
    <row r="44" spans="1:15" x14ac:dyDescent="0.35">
      <c r="A44" s="4" t="s">
        <v>91</v>
      </c>
      <c r="B44" s="2" t="s">
        <v>92</v>
      </c>
      <c r="C44" s="2" t="s">
        <v>20</v>
      </c>
      <c r="D44" s="2" t="s">
        <v>2</v>
      </c>
      <c r="E44" s="2" t="s">
        <v>21</v>
      </c>
      <c r="F44" s="2" t="s">
        <v>16</v>
      </c>
      <c r="G44" s="2">
        <v>0</v>
      </c>
      <c r="H44" s="2">
        <v>0</v>
      </c>
      <c r="I44" s="2">
        <v>0</v>
      </c>
      <c r="J44" s="2">
        <v>0</v>
      </c>
      <c r="K44" s="11">
        <v>393940</v>
      </c>
      <c r="L44" s="7">
        <v>551286.32000000007</v>
      </c>
      <c r="M44" s="2">
        <f t="shared" si="6"/>
        <v>0</v>
      </c>
      <c r="N44" s="2" t="s">
        <v>17</v>
      </c>
      <c r="O44" s="8"/>
    </row>
    <row r="45" spans="1:15" x14ac:dyDescent="0.35">
      <c r="A45" s="4" t="s">
        <v>93</v>
      </c>
      <c r="B45" s="2" t="s">
        <v>94</v>
      </c>
      <c r="C45" s="2" t="s">
        <v>20</v>
      </c>
      <c r="D45" s="2" t="s">
        <v>2</v>
      </c>
      <c r="E45" s="2" t="s">
        <v>21</v>
      </c>
      <c r="F45" s="2" t="s">
        <v>16</v>
      </c>
      <c r="G45" s="2">
        <v>0</v>
      </c>
      <c r="H45" s="2">
        <v>0</v>
      </c>
      <c r="I45" s="2">
        <v>0</v>
      </c>
      <c r="J45" s="2">
        <v>0</v>
      </c>
      <c r="K45" s="11">
        <v>416920</v>
      </c>
      <c r="L45" s="2">
        <v>583264</v>
      </c>
      <c r="M45" s="2">
        <f t="shared" si="6"/>
        <v>0</v>
      </c>
      <c r="N45" s="2" t="s">
        <v>17</v>
      </c>
      <c r="O45" s="8"/>
    </row>
    <row r="46" spans="1:15" x14ac:dyDescent="0.35">
      <c r="A46" s="4" t="s">
        <v>95</v>
      </c>
      <c r="B46" s="2" t="s">
        <v>96</v>
      </c>
      <c r="C46" s="2" t="s">
        <v>20</v>
      </c>
      <c r="D46" s="2" t="s">
        <v>2</v>
      </c>
      <c r="E46" s="2" t="s">
        <v>21</v>
      </c>
      <c r="F46" s="2" t="s">
        <v>16</v>
      </c>
      <c r="G46" s="2">
        <v>0</v>
      </c>
      <c r="H46" s="2">
        <v>0</v>
      </c>
      <c r="I46" s="2">
        <v>0</v>
      </c>
      <c r="J46" s="2">
        <v>0</v>
      </c>
      <c r="K46" s="11">
        <v>456730</v>
      </c>
      <c r="L46" s="7">
        <v>644689.76</v>
      </c>
      <c r="M46" s="2">
        <f t="shared" si="6"/>
        <v>0</v>
      </c>
      <c r="N46" s="2" t="s">
        <v>17</v>
      </c>
      <c r="O46" s="8"/>
    </row>
    <row r="47" spans="1:15" x14ac:dyDescent="0.35">
      <c r="A47" s="4" t="s">
        <v>97</v>
      </c>
      <c r="B47" s="2" t="s">
        <v>98</v>
      </c>
      <c r="C47" s="2" t="s">
        <v>20</v>
      </c>
      <c r="D47" s="2" t="s">
        <v>2</v>
      </c>
      <c r="E47" s="2" t="s">
        <v>21</v>
      </c>
      <c r="F47" s="2" t="s">
        <v>16</v>
      </c>
      <c r="G47" s="2">
        <v>1</v>
      </c>
      <c r="H47" s="2">
        <v>0</v>
      </c>
      <c r="I47" s="2">
        <v>1</v>
      </c>
      <c r="J47" s="2">
        <v>0</v>
      </c>
      <c r="K47" s="11">
        <v>5923</v>
      </c>
      <c r="L47" s="7">
        <v>8304.4</v>
      </c>
      <c r="M47" s="2">
        <f t="shared" si="6"/>
        <v>5923</v>
      </c>
      <c r="N47" s="2" t="s">
        <v>46</v>
      </c>
      <c r="O47" s="8"/>
    </row>
    <row r="48" spans="1:15" x14ac:dyDescent="0.35">
      <c r="A48" s="4" t="s">
        <v>99</v>
      </c>
      <c r="B48" s="2" t="s">
        <v>100</v>
      </c>
      <c r="C48" s="2" t="s">
        <v>20</v>
      </c>
      <c r="D48" s="2" t="s">
        <v>2</v>
      </c>
      <c r="E48" s="2" t="s">
        <v>21</v>
      </c>
      <c r="F48" s="2" t="s">
        <v>16</v>
      </c>
      <c r="G48" s="2">
        <v>2</v>
      </c>
      <c r="H48" s="2">
        <v>0</v>
      </c>
      <c r="I48" s="2">
        <v>2</v>
      </c>
      <c r="J48" s="2">
        <v>0</v>
      </c>
      <c r="K48" s="11">
        <v>7441</v>
      </c>
      <c r="L48" s="7">
        <v>10038.08</v>
      </c>
      <c r="M48" s="2">
        <f t="shared" si="6"/>
        <v>14882</v>
      </c>
      <c r="N48" s="2" t="s">
        <v>46</v>
      </c>
      <c r="O48" s="8"/>
    </row>
    <row r="49" spans="1:15" x14ac:dyDescent="0.35">
      <c r="A49" s="4" t="s">
        <v>101</v>
      </c>
      <c r="B49" s="2" t="s">
        <v>102</v>
      </c>
      <c r="C49" s="2" t="s">
        <v>20</v>
      </c>
      <c r="D49" s="2" t="s">
        <v>2</v>
      </c>
      <c r="E49" s="2" t="s">
        <v>21</v>
      </c>
      <c r="F49" s="2" t="s">
        <v>16</v>
      </c>
      <c r="G49" s="2">
        <v>0</v>
      </c>
      <c r="H49" s="2">
        <v>0</v>
      </c>
      <c r="I49" s="2">
        <v>0</v>
      </c>
      <c r="J49" s="2">
        <v>0</v>
      </c>
      <c r="K49" s="11">
        <v>9371</v>
      </c>
      <c r="L49" s="7">
        <v>13676</v>
      </c>
      <c r="M49" s="2">
        <f t="shared" si="6"/>
        <v>0</v>
      </c>
      <c r="N49" s="2" t="s">
        <v>17</v>
      </c>
      <c r="O49" s="8"/>
    </row>
    <row r="50" spans="1:15" x14ac:dyDescent="0.35">
      <c r="A50" s="4" t="s">
        <v>103</v>
      </c>
      <c r="B50" s="2" t="s">
        <v>104</v>
      </c>
      <c r="C50" s="2" t="s">
        <v>20</v>
      </c>
      <c r="D50" s="2" t="s">
        <v>2</v>
      </c>
      <c r="E50" s="2" t="s">
        <v>21</v>
      </c>
      <c r="F50" s="2" t="s">
        <v>16</v>
      </c>
      <c r="G50" s="2">
        <v>0</v>
      </c>
      <c r="H50" s="2">
        <v>0</v>
      </c>
      <c r="I50" s="2">
        <v>0</v>
      </c>
      <c r="J50" s="2">
        <v>0</v>
      </c>
      <c r="K50" s="11">
        <v>9610</v>
      </c>
      <c r="L50" s="7">
        <v>14102.4</v>
      </c>
      <c r="M50" s="2">
        <f t="shared" si="6"/>
        <v>0</v>
      </c>
      <c r="N50" s="2" t="s">
        <v>17</v>
      </c>
      <c r="O50" s="8"/>
    </row>
    <row r="51" spans="1:15" x14ac:dyDescent="0.35">
      <c r="A51" s="4" t="s">
        <v>105</v>
      </c>
      <c r="B51" s="2" t="s">
        <v>106</v>
      </c>
      <c r="C51" s="2" t="s">
        <v>20</v>
      </c>
      <c r="D51" s="2" t="s">
        <v>2</v>
      </c>
      <c r="E51" s="2" t="s">
        <v>21</v>
      </c>
      <c r="F51" s="2" t="s">
        <v>16</v>
      </c>
      <c r="G51" s="2">
        <v>1</v>
      </c>
      <c r="H51" s="2">
        <v>0</v>
      </c>
      <c r="I51" s="2">
        <v>1</v>
      </c>
      <c r="J51" s="2">
        <v>0</v>
      </c>
      <c r="K51" s="11">
        <v>11748</v>
      </c>
      <c r="L51" s="7">
        <v>17316</v>
      </c>
      <c r="M51" s="2">
        <f t="shared" si="6"/>
        <v>11748</v>
      </c>
      <c r="N51" s="2" t="s">
        <v>46</v>
      </c>
      <c r="O51" s="8"/>
    </row>
    <row r="52" spans="1:15" x14ac:dyDescent="0.35">
      <c r="A52" s="4" t="s">
        <v>107</v>
      </c>
      <c r="B52" s="2" t="s">
        <v>108</v>
      </c>
      <c r="C52" s="2" t="s">
        <v>20</v>
      </c>
      <c r="D52" s="2" t="s">
        <v>2</v>
      </c>
      <c r="E52" s="2" t="s">
        <v>21</v>
      </c>
      <c r="F52" s="2" t="s">
        <v>16</v>
      </c>
      <c r="G52" s="2">
        <v>0</v>
      </c>
      <c r="H52" s="2">
        <v>0</v>
      </c>
      <c r="I52" s="2">
        <v>0</v>
      </c>
      <c r="J52" s="2">
        <v>0</v>
      </c>
      <c r="K52" s="11">
        <v>15510</v>
      </c>
      <c r="L52" s="7">
        <v>22412</v>
      </c>
      <c r="M52" s="2">
        <f t="shared" si="6"/>
        <v>0</v>
      </c>
      <c r="N52" s="2" t="s">
        <v>17</v>
      </c>
      <c r="O52" s="8"/>
    </row>
    <row r="53" spans="1:15" x14ac:dyDescent="0.35">
      <c r="A53" s="4" t="s">
        <v>109</v>
      </c>
      <c r="B53" s="2" t="s">
        <v>110</v>
      </c>
      <c r="C53" s="2" t="s">
        <v>20</v>
      </c>
      <c r="D53" s="2" t="s">
        <v>2</v>
      </c>
      <c r="E53" s="2" t="s">
        <v>21</v>
      </c>
      <c r="F53" s="2" t="s">
        <v>16</v>
      </c>
      <c r="G53" s="2">
        <v>9</v>
      </c>
      <c r="H53" s="2">
        <v>0</v>
      </c>
      <c r="I53" s="2">
        <v>9</v>
      </c>
      <c r="J53" s="2">
        <v>0</v>
      </c>
      <c r="K53" s="11">
        <v>20159</v>
      </c>
      <c r="L53" s="7">
        <v>28979.600000000002</v>
      </c>
      <c r="M53" s="2">
        <f t="shared" si="6"/>
        <v>181431</v>
      </c>
      <c r="N53" s="2" t="s">
        <v>46</v>
      </c>
      <c r="O53" s="8"/>
    </row>
    <row r="54" spans="1:15" x14ac:dyDescent="0.35">
      <c r="A54" s="4" t="s">
        <v>111</v>
      </c>
      <c r="B54" s="2" t="s">
        <v>112</v>
      </c>
      <c r="C54" s="2" t="s">
        <v>20</v>
      </c>
      <c r="D54" s="2" t="s">
        <v>2</v>
      </c>
      <c r="E54" s="2" t="s">
        <v>21</v>
      </c>
      <c r="F54" s="2" t="s">
        <v>16</v>
      </c>
      <c r="G54" s="2">
        <v>0</v>
      </c>
      <c r="H54" s="2">
        <v>0</v>
      </c>
      <c r="I54" s="2">
        <v>0</v>
      </c>
      <c r="J54" s="2">
        <v>0</v>
      </c>
      <c r="K54" s="11">
        <v>22712</v>
      </c>
      <c r="L54" s="7">
        <v>33604.480000000003</v>
      </c>
      <c r="M54" s="2">
        <f t="shared" si="6"/>
        <v>0</v>
      </c>
      <c r="N54" s="2" t="s">
        <v>17</v>
      </c>
      <c r="O54" s="8"/>
    </row>
    <row r="55" spans="1:15" x14ac:dyDescent="0.35">
      <c r="A55" s="4" t="s">
        <v>113</v>
      </c>
      <c r="B55" s="2" t="s">
        <v>114</v>
      </c>
      <c r="C55" s="2" t="s">
        <v>20</v>
      </c>
      <c r="D55" s="2" t="s">
        <v>2</v>
      </c>
      <c r="E55" s="2" t="s">
        <v>21</v>
      </c>
      <c r="F55" s="2" t="s">
        <v>16</v>
      </c>
      <c r="G55" s="2">
        <v>0</v>
      </c>
      <c r="H55" s="2">
        <v>0</v>
      </c>
      <c r="I55" s="2">
        <v>0</v>
      </c>
      <c r="J55" s="2">
        <v>0</v>
      </c>
      <c r="K55" s="11">
        <v>36748</v>
      </c>
      <c r="L55" s="7">
        <v>55296.800000000003</v>
      </c>
      <c r="M55" s="2">
        <f t="shared" si="6"/>
        <v>0</v>
      </c>
      <c r="N55" s="2" t="s">
        <v>17</v>
      </c>
      <c r="O55" s="8"/>
    </row>
    <row r="56" spans="1:15" x14ac:dyDescent="0.35">
      <c r="A56" s="4" t="s">
        <v>115</v>
      </c>
      <c r="B56" s="2" t="s">
        <v>116</v>
      </c>
      <c r="C56" s="2" t="s">
        <v>20</v>
      </c>
      <c r="D56" s="2" t="s">
        <v>2</v>
      </c>
      <c r="E56" s="2" t="s">
        <v>21</v>
      </c>
      <c r="F56" s="2" t="s">
        <v>16</v>
      </c>
      <c r="G56" s="2">
        <v>0</v>
      </c>
      <c r="H56" s="2">
        <v>0</v>
      </c>
      <c r="I56" s="2">
        <v>0</v>
      </c>
      <c r="J56" s="2">
        <v>0</v>
      </c>
      <c r="K56" s="11">
        <v>42682</v>
      </c>
      <c r="L56" s="7">
        <v>65114.400000000001</v>
      </c>
      <c r="M56" s="2">
        <f t="shared" si="6"/>
        <v>0</v>
      </c>
      <c r="N56" s="2" t="s">
        <v>17</v>
      </c>
      <c r="O56" s="8"/>
    </row>
    <row r="57" spans="1:15" x14ac:dyDescent="0.35">
      <c r="A57" s="4" t="s">
        <v>117</v>
      </c>
      <c r="B57" s="2" t="s">
        <v>118</v>
      </c>
      <c r="C57" s="2" t="s">
        <v>20</v>
      </c>
      <c r="D57" s="2" t="s">
        <v>2</v>
      </c>
      <c r="E57" s="2" t="s">
        <v>21</v>
      </c>
      <c r="F57" s="2" t="s">
        <v>16</v>
      </c>
      <c r="G57" s="2">
        <v>0</v>
      </c>
      <c r="H57" s="2">
        <v>0</v>
      </c>
      <c r="I57" s="2">
        <v>0</v>
      </c>
      <c r="J57" s="2">
        <v>0</v>
      </c>
      <c r="K57" s="11">
        <v>57852</v>
      </c>
      <c r="L57" s="7">
        <v>89059.36</v>
      </c>
      <c r="M57" s="2">
        <f t="shared" si="6"/>
        <v>0</v>
      </c>
      <c r="N57" s="2" t="s">
        <v>17</v>
      </c>
      <c r="O57" s="8"/>
    </row>
    <row r="58" spans="1:15" x14ac:dyDescent="0.35">
      <c r="A58" s="4" t="s">
        <v>119</v>
      </c>
      <c r="B58" s="2" t="s">
        <v>120</v>
      </c>
      <c r="C58" s="2" t="s">
        <v>20</v>
      </c>
      <c r="D58" s="2" t="s">
        <v>2</v>
      </c>
      <c r="E58" s="2" t="s">
        <v>21</v>
      </c>
      <c r="F58" s="2" t="s">
        <v>16</v>
      </c>
      <c r="G58" s="2">
        <v>0</v>
      </c>
      <c r="H58" s="2">
        <v>0</v>
      </c>
      <c r="I58" s="2">
        <v>0</v>
      </c>
      <c r="J58" s="2">
        <v>0</v>
      </c>
      <c r="K58" s="11">
        <v>61069</v>
      </c>
      <c r="L58" s="7">
        <v>92723.280000000013</v>
      </c>
      <c r="M58" s="2">
        <f t="shared" si="6"/>
        <v>0</v>
      </c>
      <c r="N58" s="2" t="s">
        <v>17</v>
      </c>
      <c r="O58" s="8"/>
    </row>
    <row r="59" spans="1:15" x14ac:dyDescent="0.35">
      <c r="A59" s="4" t="s">
        <v>121</v>
      </c>
      <c r="B59" s="2" t="s">
        <v>122</v>
      </c>
      <c r="C59" s="2" t="s">
        <v>20</v>
      </c>
      <c r="D59" s="2" t="s">
        <v>2</v>
      </c>
      <c r="E59" s="2" t="s">
        <v>21</v>
      </c>
      <c r="F59" s="2" t="s">
        <v>16</v>
      </c>
      <c r="G59" s="2">
        <v>0</v>
      </c>
      <c r="H59" s="2">
        <v>0</v>
      </c>
      <c r="I59" s="2">
        <v>0</v>
      </c>
      <c r="J59" s="2">
        <v>0</v>
      </c>
      <c r="K59" s="11">
        <v>70099</v>
      </c>
      <c r="L59" s="7">
        <v>103500.8</v>
      </c>
      <c r="M59" s="2">
        <f t="shared" si="6"/>
        <v>0</v>
      </c>
      <c r="N59" s="2" t="s">
        <v>17</v>
      </c>
      <c r="O59" s="8"/>
    </row>
    <row r="60" spans="1:15" x14ac:dyDescent="0.35">
      <c r="A60" s="4" t="s">
        <v>123</v>
      </c>
      <c r="B60" s="2" t="s">
        <v>124</v>
      </c>
      <c r="C60" s="2" t="s">
        <v>20</v>
      </c>
      <c r="D60" s="2" t="s">
        <v>2</v>
      </c>
      <c r="E60" s="2" t="s">
        <v>21</v>
      </c>
      <c r="F60" s="2" t="s">
        <v>16</v>
      </c>
      <c r="G60" s="2">
        <v>0</v>
      </c>
      <c r="H60" s="2">
        <v>0</v>
      </c>
      <c r="I60" s="2">
        <v>0</v>
      </c>
      <c r="J60" s="2">
        <v>0</v>
      </c>
      <c r="K60" s="11">
        <v>89186</v>
      </c>
      <c r="L60" s="7">
        <v>132132</v>
      </c>
      <c r="M60" s="2">
        <f t="shared" si="6"/>
        <v>0</v>
      </c>
      <c r="N60" s="2" t="s">
        <v>17</v>
      </c>
      <c r="O60" s="8"/>
    </row>
    <row r="61" spans="1:15" x14ac:dyDescent="0.35">
      <c r="A61" s="4" t="s">
        <v>125</v>
      </c>
      <c r="B61" s="2" t="s">
        <v>126</v>
      </c>
      <c r="C61" s="2" t="s">
        <v>20</v>
      </c>
      <c r="D61" s="2" t="s">
        <v>2</v>
      </c>
      <c r="E61" s="2" t="s">
        <v>21</v>
      </c>
      <c r="F61" s="2" t="s">
        <v>16</v>
      </c>
      <c r="G61" s="2">
        <v>0</v>
      </c>
      <c r="H61" s="2">
        <v>0</v>
      </c>
      <c r="I61" s="2">
        <v>0</v>
      </c>
      <c r="J61" s="2">
        <v>0</v>
      </c>
      <c r="K61" s="11">
        <v>108910</v>
      </c>
      <c r="L61" s="7">
        <v>156644.80000000002</v>
      </c>
      <c r="M61" s="2">
        <f t="shared" si="6"/>
        <v>0</v>
      </c>
      <c r="N61" s="2" t="s">
        <v>17</v>
      </c>
      <c r="O61" s="8"/>
    </row>
    <row r="62" spans="1:15" x14ac:dyDescent="0.35">
      <c r="A62" s="4" t="s">
        <v>127</v>
      </c>
      <c r="B62" s="2" t="s">
        <v>128</v>
      </c>
      <c r="C62" s="2" t="s">
        <v>20</v>
      </c>
      <c r="D62" s="2" t="s">
        <v>2</v>
      </c>
      <c r="E62" s="2" t="s">
        <v>21</v>
      </c>
      <c r="F62" s="2" t="s">
        <v>16</v>
      </c>
      <c r="G62" s="2">
        <v>0</v>
      </c>
      <c r="H62" s="2">
        <v>0</v>
      </c>
      <c r="I62" s="2">
        <v>0</v>
      </c>
      <c r="J62" s="2">
        <v>0</v>
      </c>
      <c r="K62" s="11">
        <v>119477</v>
      </c>
      <c r="L62" s="7">
        <v>182606.32</v>
      </c>
      <c r="M62" s="2">
        <f t="shared" si="6"/>
        <v>0</v>
      </c>
      <c r="N62" s="2" t="s">
        <v>17</v>
      </c>
      <c r="O62" s="8"/>
    </row>
    <row r="63" spans="1:15" x14ac:dyDescent="0.35">
      <c r="A63" s="4" t="s">
        <v>129</v>
      </c>
      <c r="B63" s="2" t="s">
        <v>130</v>
      </c>
      <c r="C63" s="2" t="s">
        <v>20</v>
      </c>
      <c r="D63" s="2" t="s">
        <v>2</v>
      </c>
      <c r="E63" s="2" t="s">
        <v>21</v>
      </c>
      <c r="F63" s="2" t="s">
        <v>16</v>
      </c>
      <c r="G63" s="2">
        <v>0</v>
      </c>
      <c r="H63" s="2">
        <v>0</v>
      </c>
      <c r="I63" s="2">
        <v>0</v>
      </c>
      <c r="J63" s="2">
        <v>0</v>
      </c>
      <c r="K63" s="11">
        <v>170438</v>
      </c>
      <c r="L63" s="7">
        <v>271294.40000000002</v>
      </c>
      <c r="M63" s="2">
        <f t="shared" si="6"/>
        <v>0</v>
      </c>
      <c r="N63" s="2" t="s">
        <v>17</v>
      </c>
      <c r="O63" s="8"/>
    </row>
    <row r="64" spans="1:15" x14ac:dyDescent="0.35">
      <c r="A64" s="4" t="s">
        <v>131</v>
      </c>
      <c r="B64" s="2" t="s">
        <v>132</v>
      </c>
      <c r="C64" s="2" t="s">
        <v>20</v>
      </c>
      <c r="D64" s="2" t="s">
        <v>2</v>
      </c>
      <c r="E64" s="2" t="s">
        <v>21</v>
      </c>
      <c r="F64" s="2" t="s">
        <v>16</v>
      </c>
      <c r="G64" s="2">
        <v>0</v>
      </c>
      <c r="H64" s="2">
        <v>0</v>
      </c>
      <c r="I64" s="2">
        <v>0</v>
      </c>
      <c r="J64" s="2">
        <v>0</v>
      </c>
      <c r="K64" s="11">
        <v>216072</v>
      </c>
      <c r="L64" s="7">
        <v>351083.2</v>
      </c>
      <c r="M64" s="2">
        <f t="shared" si="6"/>
        <v>0</v>
      </c>
      <c r="N64" s="2" t="s">
        <v>17</v>
      </c>
      <c r="O64" s="8"/>
    </row>
    <row r="65" spans="1:15" x14ac:dyDescent="0.35">
      <c r="A65" s="4" t="s">
        <v>133</v>
      </c>
      <c r="B65" s="2" t="s">
        <v>134</v>
      </c>
      <c r="C65" s="2" t="s">
        <v>20</v>
      </c>
      <c r="D65" s="2" t="s">
        <v>2</v>
      </c>
      <c r="E65" s="2" t="s">
        <v>21</v>
      </c>
      <c r="F65" s="2" t="s">
        <v>16</v>
      </c>
      <c r="G65" s="2">
        <v>0</v>
      </c>
      <c r="H65" s="2">
        <v>0</v>
      </c>
      <c r="I65" s="2">
        <v>0</v>
      </c>
      <c r="J65" s="2">
        <v>0</v>
      </c>
      <c r="K65" s="11">
        <v>372532</v>
      </c>
      <c r="L65" s="7">
        <v>551286.32000000007</v>
      </c>
      <c r="M65" s="2">
        <f t="shared" si="6"/>
        <v>0</v>
      </c>
      <c r="N65" s="2" t="s">
        <v>17</v>
      </c>
      <c r="O65" s="8"/>
    </row>
    <row r="66" spans="1:15" x14ac:dyDescent="0.35">
      <c r="A66" s="4" t="s">
        <v>135</v>
      </c>
      <c r="B66" s="2" t="s">
        <v>136</v>
      </c>
      <c r="C66" s="2" t="s">
        <v>20</v>
      </c>
      <c r="D66" s="2" t="s">
        <v>2</v>
      </c>
      <c r="E66" s="2" t="s">
        <v>21</v>
      </c>
      <c r="F66" s="2" t="s">
        <v>16</v>
      </c>
      <c r="G66" s="2">
        <v>0</v>
      </c>
      <c r="H66" s="2">
        <v>0</v>
      </c>
      <c r="I66" s="2">
        <v>0</v>
      </c>
      <c r="J66" s="2">
        <v>0</v>
      </c>
      <c r="K66" s="11">
        <v>402547</v>
      </c>
      <c r="L66" s="2">
        <v>583264</v>
      </c>
      <c r="M66" s="2">
        <f t="shared" si="6"/>
        <v>0</v>
      </c>
      <c r="N66" s="2" t="s">
        <v>17</v>
      </c>
      <c r="O66" s="8"/>
    </row>
    <row r="67" spans="1:15" x14ac:dyDescent="0.35">
      <c r="A67" s="4" t="s">
        <v>137</v>
      </c>
      <c r="B67" s="2" t="s">
        <v>138</v>
      </c>
      <c r="C67" s="2" t="s">
        <v>20</v>
      </c>
      <c r="D67" s="2" t="s">
        <v>2</v>
      </c>
      <c r="E67" s="2" t="s">
        <v>21</v>
      </c>
      <c r="F67" s="2" t="s">
        <v>16</v>
      </c>
      <c r="G67" s="2">
        <v>0</v>
      </c>
      <c r="H67" s="2">
        <v>0</v>
      </c>
      <c r="I67" s="2">
        <v>0</v>
      </c>
      <c r="J67" s="2">
        <v>0</v>
      </c>
      <c r="K67" s="11">
        <v>431480</v>
      </c>
      <c r="L67" s="7">
        <v>644689.76</v>
      </c>
      <c r="M67" s="2">
        <f t="shared" si="6"/>
        <v>0</v>
      </c>
      <c r="N67" s="2" t="s">
        <v>17</v>
      </c>
      <c r="O67" s="8"/>
    </row>
    <row r="68" spans="1:15" x14ac:dyDescent="0.35">
      <c r="A68" s="4" t="s">
        <v>139</v>
      </c>
      <c r="B68" s="2" t="s">
        <v>140</v>
      </c>
      <c r="C68" s="2"/>
      <c r="D68" s="2" t="s">
        <v>2</v>
      </c>
      <c r="E68" s="2" t="s">
        <v>3</v>
      </c>
      <c r="F68" s="2" t="s">
        <v>16</v>
      </c>
      <c r="G68" s="2">
        <v>0</v>
      </c>
      <c r="H68" s="2">
        <v>0</v>
      </c>
      <c r="I68" s="2">
        <v>0</v>
      </c>
      <c r="J68" s="2">
        <v>0</v>
      </c>
      <c r="K68" s="3">
        <f>L68/1.3</f>
        <v>8940</v>
      </c>
      <c r="L68" s="7">
        <v>11622</v>
      </c>
      <c r="M68" s="2">
        <f t="shared" si="6"/>
        <v>0</v>
      </c>
      <c r="N68" s="2" t="s">
        <v>17</v>
      </c>
      <c r="O68" s="8"/>
    </row>
    <row r="69" spans="1:15" x14ac:dyDescent="0.35">
      <c r="A69" s="4" t="s">
        <v>141</v>
      </c>
      <c r="B69" s="2" t="s">
        <v>142</v>
      </c>
      <c r="C69" s="2"/>
      <c r="D69" s="2" t="s">
        <v>2</v>
      </c>
      <c r="E69" s="2" t="s">
        <v>3</v>
      </c>
      <c r="F69" s="2" t="s">
        <v>16</v>
      </c>
      <c r="G69" s="2">
        <v>0</v>
      </c>
      <c r="H69" s="2">
        <v>0</v>
      </c>
      <c r="I69" s="2">
        <v>0</v>
      </c>
      <c r="J69" s="2">
        <v>0</v>
      </c>
      <c r="K69" s="3">
        <f t="shared" ref="K69:K70" si="7">L69/1.3</f>
        <v>8063.0769230769229</v>
      </c>
      <c r="L69" s="7">
        <v>10482</v>
      </c>
      <c r="M69" s="2">
        <f t="shared" si="6"/>
        <v>0</v>
      </c>
      <c r="N69" s="2" t="s">
        <v>17</v>
      </c>
      <c r="O69" s="8"/>
    </row>
    <row r="70" spans="1:15" x14ac:dyDescent="0.35">
      <c r="A70" s="4" t="s">
        <v>143</v>
      </c>
      <c r="B70" s="2" t="s">
        <v>144</v>
      </c>
      <c r="C70" s="2"/>
      <c r="D70" s="2" t="s">
        <v>2</v>
      </c>
      <c r="E70" s="2" t="s">
        <v>3</v>
      </c>
      <c r="F70" s="2" t="s">
        <v>16</v>
      </c>
      <c r="G70" s="2">
        <v>0</v>
      </c>
      <c r="H70" s="2">
        <v>0</v>
      </c>
      <c r="I70" s="2">
        <v>0</v>
      </c>
      <c r="J70" s="2">
        <v>0</v>
      </c>
      <c r="K70" s="3">
        <f t="shared" si="7"/>
        <v>10040</v>
      </c>
      <c r="L70" s="7">
        <v>13052</v>
      </c>
      <c r="M70" s="2">
        <f t="shared" si="6"/>
        <v>0</v>
      </c>
      <c r="N70" s="2" t="s">
        <v>17</v>
      </c>
      <c r="O70" s="8"/>
    </row>
    <row r="71" spans="1:15" x14ac:dyDescent="0.35">
      <c r="A71" s="4" t="s">
        <v>145</v>
      </c>
      <c r="B71" s="2" t="s">
        <v>146</v>
      </c>
      <c r="C71" s="2"/>
      <c r="D71" s="2" t="s">
        <v>2</v>
      </c>
      <c r="E71" s="2" t="s">
        <v>3</v>
      </c>
      <c r="F71" s="2" t="s">
        <v>16</v>
      </c>
      <c r="G71" s="2">
        <v>0</v>
      </c>
      <c r="H71" s="2">
        <v>0</v>
      </c>
      <c r="I71" s="2">
        <v>0</v>
      </c>
      <c r="J71" s="2">
        <v>0</v>
      </c>
      <c r="K71" s="3">
        <f>L71/1.3</f>
        <v>32207.692307692305</v>
      </c>
      <c r="L71" s="7">
        <v>41870</v>
      </c>
      <c r="M71" s="2">
        <f t="shared" si="6"/>
        <v>0</v>
      </c>
      <c r="N71" s="2" t="s">
        <v>17</v>
      </c>
      <c r="O71" s="8"/>
    </row>
    <row r="72" spans="1:15" x14ac:dyDescent="0.35">
      <c r="A72" s="4" t="s">
        <v>147</v>
      </c>
      <c r="B72" s="2" t="s">
        <v>148</v>
      </c>
      <c r="C72" s="2"/>
      <c r="D72" s="2" t="s">
        <v>2</v>
      </c>
      <c r="E72" s="2" t="s">
        <v>3</v>
      </c>
      <c r="F72" s="2" t="s">
        <v>16</v>
      </c>
      <c r="G72" s="2">
        <v>0</v>
      </c>
      <c r="H72" s="2">
        <v>0</v>
      </c>
      <c r="I72" s="2">
        <v>0</v>
      </c>
      <c r="J72" s="2">
        <v>0</v>
      </c>
      <c r="K72" s="3">
        <f>L72/1.3</f>
        <v>52087.692307692305</v>
      </c>
      <c r="L72" s="7">
        <v>67714</v>
      </c>
      <c r="M72" s="2">
        <f t="shared" si="6"/>
        <v>0</v>
      </c>
      <c r="N72" s="2" t="s">
        <v>17</v>
      </c>
      <c r="O72" s="8"/>
    </row>
    <row r="73" spans="1:15" x14ac:dyDescent="0.35">
      <c r="A73" s="4" t="s">
        <v>149</v>
      </c>
      <c r="B73" s="2" t="s">
        <v>150</v>
      </c>
      <c r="C73" s="2"/>
      <c r="D73" s="2" t="s">
        <v>2</v>
      </c>
      <c r="E73" s="2" t="s">
        <v>151</v>
      </c>
      <c r="F73" s="2" t="s">
        <v>16</v>
      </c>
      <c r="G73" s="2">
        <v>0</v>
      </c>
      <c r="H73" s="2">
        <v>0</v>
      </c>
      <c r="I73" s="2">
        <v>0</v>
      </c>
      <c r="J73" s="2">
        <v>0</v>
      </c>
      <c r="K73" s="11">
        <v>17693</v>
      </c>
      <c r="L73" s="2">
        <v>23000</v>
      </c>
      <c r="M73" s="2">
        <f t="shared" ref="M73:M75" si="8">SUM(I73)*K73</f>
        <v>0</v>
      </c>
      <c r="N73" s="2" t="s">
        <v>17</v>
      </c>
      <c r="O73" s="8"/>
    </row>
    <row r="74" spans="1:15" x14ac:dyDescent="0.35">
      <c r="A74" s="4" t="s">
        <v>152</v>
      </c>
      <c r="B74" s="2" t="s">
        <v>153</v>
      </c>
      <c r="C74" s="2"/>
      <c r="D74" s="2" t="s">
        <v>2</v>
      </c>
      <c r="E74" s="2" t="s">
        <v>151</v>
      </c>
      <c r="F74" s="2" t="s">
        <v>16</v>
      </c>
      <c r="G74" s="2">
        <v>0</v>
      </c>
      <c r="H74" s="2">
        <v>0</v>
      </c>
      <c r="I74" s="2">
        <v>0</v>
      </c>
      <c r="J74" s="2">
        <v>0</v>
      </c>
      <c r="K74" s="11">
        <v>22308</v>
      </c>
      <c r="L74" s="2">
        <v>29000</v>
      </c>
      <c r="M74" s="2">
        <f t="shared" si="8"/>
        <v>0</v>
      </c>
      <c r="N74" s="2" t="s">
        <v>17</v>
      </c>
      <c r="O74" s="8"/>
    </row>
    <row r="75" spans="1:15" x14ac:dyDescent="0.35">
      <c r="A75" s="4" t="s">
        <v>154</v>
      </c>
      <c r="B75" s="2" t="s">
        <v>155</v>
      </c>
      <c r="C75" s="2"/>
      <c r="D75" s="2" t="s">
        <v>2</v>
      </c>
      <c r="E75" s="2" t="s">
        <v>151</v>
      </c>
      <c r="F75" s="2" t="s">
        <v>16</v>
      </c>
      <c r="G75" s="2">
        <v>0</v>
      </c>
      <c r="H75" s="2">
        <v>0</v>
      </c>
      <c r="I75" s="2">
        <v>0</v>
      </c>
      <c r="J75" s="2">
        <v>0</v>
      </c>
      <c r="K75" s="11">
        <v>36154</v>
      </c>
      <c r="L75" s="2">
        <v>47000</v>
      </c>
      <c r="M75" s="2">
        <f t="shared" si="8"/>
        <v>0</v>
      </c>
      <c r="N75" s="2" t="s">
        <v>17</v>
      </c>
      <c r="O75" s="8"/>
    </row>
    <row r="76" spans="1:15" x14ac:dyDescent="0.35">
      <c r="A76" s="4" t="s">
        <v>156</v>
      </c>
      <c r="B76" s="2" t="s">
        <v>157</v>
      </c>
      <c r="C76" s="2" t="s">
        <v>20</v>
      </c>
      <c r="D76" s="2" t="s">
        <v>2</v>
      </c>
      <c r="E76" s="2" t="s">
        <v>3</v>
      </c>
      <c r="F76" s="2" t="s">
        <v>16</v>
      </c>
      <c r="G76" s="2">
        <v>0</v>
      </c>
      <c r="H76" s="2">
        <v>0</v>
      </c>
      <c r="I76" s="2">
        <v>0</v>
      </c>
      <c r="J76" s="2">
        <v>0</v>
      </c>
      <c r="K76" s="12">
        <v>6550</v>
      </c>
      <c r="L76" s="15">
        <f>K76*1.3</f>
        <v>8515</v>
      </c>
      <c r="M76" s="2">
        <f t="shared" ref="M76:M100" si="9">SUM(I76)*K76</f>
        <v>0</v>
      </c>
      <c r="N76" s="2" t="s">
        <v>17</v>
      </c>
      <c r="O76" s="8"/>
    </row>
    <row r="77" spans="1:15" x14ac:dyDescent="0.35">
      <c r="A77" s="4" t="s">
        <v>158</v>
      </c>
      <c r="B77" s="2" t="s">
        <v>159</v>
      </c>
      <c r="C77" s="2" t="s">
        <v>20</v>
      </c>
      <c r="D77" s="2" t="s">
        <v>2</v>
      </c>
      <c r="E77" s="2" t="s">
        <v>3</v>
      </c>
      <c r="F77" s="2" t="s">
        <v>16</v>
      </c>
      <c r="G77" s="2">
        <v>0</v>
      </c>
      <c r="H77" s="2">
        <v>0</v>
      </c>
      <c r="I77" s="2">
        <v>0</v>
      </c>
      <c r="J77" s="2">
        <v>0</v>
      </c>
      <c r="K77" s="12">
        <v>7350</v>
      </c>
      <c r="L77" s="15">
        <f t="shared" ref="L77:L80" si="10">K77*1.3</f>
        <v>9555</v>
      </c>
      <c r="M77" s="2">
        <f t="shared" si="9"/>
        <v>0</v>
      </c>
      <c r="N77" s="2" t="s">
        <v>17</v>
      </c>
      <c r="O77" s="8"/>
    </row>
    <row r="78" spans="1:15" x14ac:dyDescent="0.35">
      <c r="A78" s="4" t="s">
        <v>160</v>
      </c>
      <c r="B78" s="2" t="s">
        <v>161</v>
      </c>
      <c r="C78" s="2" t="s">
        <v>20</v>
      </c>
      <c r="D78" s="2" t="s">
        <v>2</v>
      </c>
      <c r="E78" s="2" t="s">
        <v>3</v>
      </c>
      <c r="F78" s="2" t="s">
        <v>16</v>
      </c>
      <c r="G78" s="2">
        <v>0</v>
      </c>
      <c r="H78" s="2">
        <v>0</v>
      </c>
      <c r="I78" s="2">
        <v>0</v>
      </c>
      <c r="J78" s="2">
        <v>0</v>
      </c>
      <c r="K78" s="12">
        <v>10125</v>
      </c>
      <c r="L78" s="15">
        <f t="shared" si="10"/>
        <v>13162.5</v>
      </c>
      <c r="M78" s="2">
        <f t="shared" si="9"/>
        <v>0</v>
      </c>
      <c r="N78" s="2" t="s">
        <v>17</v>
      </c>
      <c r="O78" s="8"/>
    </row>
    <row r="79" spans="1:15" x14ac:dyDescent="0.35">
      <c r="A79" s="4" t="s">
        <v>162</v>
      </c>
      <c r="B79" s="2" t="s">
        <v>163</v>
      </c>
      <c r="C79" s="2" t="s">
        <v>20</v>
      </c>
      <c r="D79" s="2" t="s">
        <v>2</v>
      </c>
      <c r="E79" s="2" t="s">
        <v>3</v>
      </c>
      <c r="F79" s="2" t="s">
        <v>16</v>
      </c>
      <c r="G79" s="2">
        <v>0</v>
      </c>
      <c r="H79" s="2">
        <v>0</v>
      </c>
      <c r="I79" s="2">
        <v>0</v>
      </c>
      <c r="J79" s="2">
        <v>0</v>
      </c>
      <c r="K79" s="12">
        <v>19200</v>
      </c>
      <c r="L79" s="15">
        <f t="shared" si="10"/>
        <v>24960</v>
      </c>
      <c r="M79" s="2">
        <f t="shared" si="9"/>
        <v>0</v>
      </c>
      <c r="N79" s="2" t="s">
        <v>17</v>
      </c>
      <c r="O79" s="8"/>
    </row>
    <row r="80" spans="1:15" x14ac:dyDescent="0.35">
      <c r="A80" s="4" t="s">
        <v>164</v>
      </c>
      <c r="B80" s="2" t="s">
        <v>165</v>
      </c>
      <c r="C80" s="2" t="s">
        <v>20</v>
      </c>
      <c r="D80" s="2" t="s">
        <v>2</v>
      </c>
      <c r="E80" s="2" t="s">
        <v>3</v>
      </c>
      <c r="F80" s="2" t="s">
        <v>16</v>
      </c>
      <c r="G80" s="2">
        <v>0</v>
      </c>
      <c r="H80" s="2">
        <v>0</v>
      </c>
      <c r="I80" s="2">
        <v>0</v>
      </c>
      <c r="J80" s="2">
        <v>0</v>
      </c>
      <c r="K80" s="12">
        <v>37700</v>
      </c>
      <c r="L80" s="15">
        <f t="shared" si="10"/>
        <v>49010</v>
      </c>
      <c r="M80" s="2">
        <f t="shared" si="9"/>
        <v>0</v>
      </c>
      <c r="N80" s="2" t="s">
        <v>17</v>
      </c>
      <c r="O80" s="8"/>
    </row>
    <row r="81" spans="1:15" x14ac:dyDescent="0.35">
      <c r="A81" s="4" t="s">
        <v>166</v>
      </c>
      <c r="B81" s="2" t="s">
        <v>167</v>
      </c>
      <c r="C81" s="2"/>
      <c r="D81" s="2" t="s">
        <v>2</v>
      </c>
      <c r="E81" s="2" t="s">
        <v>3</v>
      </c>
      <c r="F81" s="2" t="s">
        <v>16</v>
      </c>
      <c r="G81" s="2">
        <v>0</v>
      </c>
      <c r="H81" s="2">
        <v>0</v>
      </c>
      <c r="I81" s="2">
        <v>0</v>
      </c>
      <c r="J81" s="2">
        <v>0</v>
      </c>
      <c r="K81" s="14">
        <v>1700</v>
      </c>
      <c r="L81" s="13">
        <v>2340</v>
      </c>
      <c r="M81" s="2">
        <f t="shared" si="9"/>
        <v>0</v>
      </c>
      <c r="N81" s="2" t="s">
        <v>17</v>
      </c>
      <c r="O81" s="8"/>
    </row>
    <row r="82" spans="1:15" x14ac:dyDescent="0.35">
      <c r="A82" s="4" t="s">
        <v>168</v>
      </c>
      <c r="B82" s="2" t="s">
        <v>169</v>
      </c>
      <c r="C82" s="2"/>
      <c r="D82" s="2" t="s">
        <v>2</v>
      </c>
      <c r="E82" s="2" t="s">
        <v>3</v>
      </c>
      <c r="F82" s="2" t="s">
        <v>16</v>
      </c>
      <c r="G82" s="2">
        <v>0</v>
      </c>
      <c r="H82" s="2">
        <v>0</v>
      </c>
      <c r="I82" s="2">
        <v>0</v>
      </c>
      <c r="J82" s="2">
        <v>0</v>
      </c>
      <c r="K82" s="14">
        <v>1800</v>
      </c>
      <c r="L82" s="13">
        <v>2470</v>
      </c>
      <c r="M82" s="2">
        <f t="shared" si="9"/>
        <v>0</v>
      </c>
      <c r="N82" s="2" t="s">
        <v>17</v>
      </c>
      <c r="O82" s="8"/>
    </row>
    <row r="83" spans="1:15" x14ac:dyDescent="0.35">
      <c r="A83" s="4" t="s">
        <v>170</v>
      </c>
      <c r="B83" s="2" t="s">
        <v>171</v>
      </c>
      <c r="C83" s="2"/>
      <c r="D83" s="2" t="s">
        <v>2</v>
      </c>
      <c r="E83" s="2" t="s">
        <v>3</v>
      </c>
      <c r="F83" s="2" t="s">
        <v>16</v>
      </c>
      <c r="G83" s="2">
        <v>0</v>
      </c>
      <c r="H83" s="2">
        <v>0</v>
      </c>
      <c r="I83" s="2">
        <v>0</v>
      </c>
      <c r="J83" s="2">
        <v>0</v>
      </c>
      <c r="K83" s="14">
        <v>1900</v>
      </c>
      <c r="L83" s="13">
        <v>2600</v>
      </c>
      <c r="M83" s="2">
        <f t="shared" si="9"/>
        <v>0</v>
      </c>
      <c r="N83" s="2" t="s">
        <v>17</v>
      </c>
      <c r="O83" s="8"/>
    </row>
    <row r="84" spans="1:15" x14ac:dyDescent="0.35">
      <c r="A84" s="4" t="s">
        <v>172</v>
      </c>
      <c r="B84" s="2" t="s">
        <v>173</v>
      </c>
      <c r="C84" s="2"/>
      <c r="D84" s="2" t="s">
        <v>2</v>
      </c>
      <c r="E84" s="2" t="s">
        <v>3</v>
      </c>
      <c r="F84" s="2" t="s">
        <v>16</v>
      </c>
      <c r="G84" s="2">
        <v>0</v>
      </c>
      <c r="H84" s="2">
        <v>0</v>
      </c>
      <c r="I84" s="2">
        <v>0</v>
      </c>
      <c r="J84" s="2">
        <v>0</v>
      </c>
      <c r="K84" s="14">
        <v>3000</v>
      </c>
      <c r="L84" s="13">
        <f t="shared" ref="L84:L85" si="11">K84*1.3</f>
        <v>3900</v>
      </c>
      <c r="M84" s="2">
        <f t="shared" si="9"/>
        <v>0</v>
      </c>
      <c r="N84" s="2" t="s">
        <v>17</v>
      </c>
      <c r="O84" s="8"/>
    </row>
    <row r="85" spans="1:15" x14ac:dyDescent="0.35">
      <c r="A85" s="4" t="s">
        <v>174</v>
      </c>
      <c r="B85" s="2" t="s">
        <v>175</v>
      </c>
      <c r="C85" s="2"/>
      <c r="D85" s="2" t="s">
        <v>2</v>
      </c>
      <c r="E85" s="2" t="s">
        <v>3</v>
      </c>
      <c r="F85" s="2" t="s">
        <v>16</v>
      </c>
      <c r="G85" s="2">
        <v>0</v>
      </c>
      <c r="H85" s="2">
        <v>0</v>
      </c>
      <c r="I85" s="2">
        <v>0</v>
      </c>
      <c r="J85" s="2">
        <v>0</v>
      </c>
      <c r="K85" s="14">
        <v>4300</v>
      </c>
      <c r="L85" s="13">
        <f t="shared" si="11"/>
        <v>5590</v>
      </c>
      <c r="M85" s="2">
        <f t="shared" si="9"/>
        <v>0</v>
      </c>
      <c r="N85" s="2" t="s">
        <v>17</v>
      </c>
      <c r="O85" s="8"/>
    </row>
    <row r="86" spans="1:15" x14ac:dyDescent="0.35">
      <c r="A86" s="4" t="s">
        <v>176</v>
      </c>
      <c r="B86" s="2" t="s">
        <v>177</v>
      </c>
      <c r="C86" s="2" t="s">
        <v>20</v>
      </c>
      <c r="D86" s="2" t="s">
        <v>2</v>
      </c>
      <c r="E86" s="2" t="s">
        <v>3</v>
      </c>
      <c r="F86" s="2" t="s">
        <v>16</v>
      </c>
      <c r="G86" s="2">
        <v>0</v>
      </c>
      <c r="H86" s="2">
        <v>0</v>
      </c>
      <c r="I86" s="2">
        <v>0</v>
      </c>
      <c r="J86" s="2">
        <v>1</v>
      </c>
      <c r="K86" s="16">
        <f>L86/1.3</f>
        <v>30083.96</v>
      </c>
      <c r="L86" s="7">
        <v>39109.148000000001</v>
      </c>
      <c r="M86" s="2">
        <f t="shared" si="9"/>
        <v>0</v>
      </c>
      <c r="N86" s="2" t="s">
        <v>17</v>
      </c>
      <c r="O86" s="8"/>
    </row>
    <row r="87" spans="1:15" x14ac:dyDescent="0.35">
      <c r="A87" s="4" t="s">
        <v>178</v>
      </c>
      <c r="B87" s="2" t="s">
        <v>179</v>
      </c>
      <c r="C87" s="2" t="s">
        <v>20</v>
      </c>
      <c r="D87" s="2" t="s">
        <v>2</v>
      </c>
      <c r="E87" s="2" t="s">
        <v>3</v>
      </c>
      <c r="F87" s="2" t="s">
        <v>16</v>
      </c>
      <c r="G87" s="2">
        <v>0</v>
      </c>
      <c r="H87" s="2">
        <v>0</v>
      </c>
      <c r="I87" s="2">
        <v>0</v>
      </c>
      <c r="J87" s="2">
        <v>1</v>
      </c>
      <c r="K87" s="16">
        <f t="shared" ref="K87:K93" si="12">L87/1.3</f>
        <v>30893.96</v>
      </c>
      <c r="L87" s="7">
        <v>40162.148000000001</v>
      </c>
      <c r="M87" s="2">
        <f t="shared" si="9"/>
        <v>0</v>
      </c>
      <c r="N87" s="2" t="s">
        <v>17</v>
      </c>
      <c r="O87" s="8"/>
    </row>
    <row r="88" spans="1:15" x14ac:dyDescent="0.35">
      <c r="A88" s="4" t="s">
        <v>180</v>
      </c>
      <c r="B88" s="2" t="s">
        <v>181</v>
      </c>
      <c r="C88" s="2" t="s">
        <v>20</v>
      </c>
      <c r="D88" s="2" t="s">
        <v>2</v>
      </c>
      <c r="E88" s="2" t="s">
        <v>3</v>
      </c>
      <c r="F88" s="2" t="s">
        <v>16</v>
      </c>
      <c r="G88" s="2">
        <v>0</v>
      </c>
      <c r="H88" s="2">
        <v>0</v>
      </c>
      <c r="I88" s="2">
        <v>0</v>
      </c>
      <c r="J88" s="2">
        <v>1</v>
      </c>
      <c r="K88" s="16">
        <f t="shared" si="12"/>
        <v>30928.419999999995</v>
      </c>
      <c r="L88" s="7">
        <v>40206.945999999996</v>
      </c>
      <c r="M88" s="2">
        <f t="shared" si="9"/>
        <v>0</v>
      </c>
      <c r="N88" s="2" t="s">
        <v>17</v>
      </c>
      <c r="O88" s="8"/>
    </row>
    <row r="89" spans="1:15" x14ac:dyDescent="0.35">
      <c r="A89" s="4" t="s">
        <v>182</v>
      </c>
      <c r="B89" s="2" t="s">
        <v>183</v>
      </c>
      <c r="C89" s="2" t="s">
        <v>20</v>
      </c>
      <c r="D89" s="2" t="s">
        <v>2</v>
      </c>
      <c r="E89" s="2" t="s">
        <v>3</v>
      </c>
      <c r="F89" s="2" t="s">
        <v>16</v>
      </c>
      <c r="G89" s="2">
        <v>0</v>
      </c>
      <c r="H89" s="2">
        <v>0</v>
      </c>
      <c r="I89" s="2">
        <v>0</v>
      </c>
      <c r="J89" s="2">
        <v>1</v>
      </c>
      <c r="K89" s="16">
        <f t="shared" si="12"/>
        <v>32300.67</v>
      </c>
      <c r="L89" s="7">
        <v>41990.870999999999</v>
      </c>
      <c r="M89" s="2">
        <f t="shared" si="9"/>
        <v>0</v>
      </c>
      <c r="N89" s="2" t="s">
        <v>17</v>
      </c>
      <c r="O89" s="8"/>
    </row>
    <row r="90" spans="1:15" x14ac:dyDescent="0.35">
      <c r="A90" s="4" t="s">
        <v>184</v>
      </c>
      <c r="B90" s="2" t="s">
        <v>185</v>
      </c>
      <c r="C90" s="2" t="s">
        <v>20</v>
      </c>
      <c r="D90" s="2" t="s">
        <v>2</v>
      </c>
      <c r="E90" s="2" t="s">
        <v>3</v>
      </c>
      <c r="F90" s="2" t="s">
        <v>16</v>
      </c>
      <c r="G90" s="2">
        <v>0</v>
      </c>
      <c r="H90" s="2">
        <v>0</v>
      </c>
      <c r="I90" s="2">
        <v>0</v>
      </c>
      <c r="J90" s="2">
        <v>1</v>
      </c>
      <c r="K90" s="16">
        <f t="shared" si="12"/>
        <v>33461.81</v>
      </c>
      <c r="L90" s="7">
        <v>43500.352999999996</v>
      </c>
      <c r="M90" s="2">
        <f t="shared" si="9"/>
        <v>0</v>
      </c>
      <c r="N90" s="2" t="s">
        <v>17</v>
      </c>
      <c r="O90" s="8"/>
    </row>
    <row r="91" spans="1:15" x14ac:dyDescent="0.35">
      <c r="A91" s="4" t="s">
        <v>186</v>
      </c>
      <c r="B91" s="2" t="s">
        <v>187</v>
      </c>
      <c r="C91" s="2" t="s">
        <v>20</v>
      </c>
      <c r="D91" s="2" t="s">
        <v>2</v>
      </c>
      <c r="E91" s="2" t="s">
        <v>3</v>
      </c>
      <c r="F91" s="2" t="s">
        <v>16</v>
      </c>
      <c r="G91" s="2">
        <v>0</v>
      </c>
      <c r="H91" s="2">
        <v>0</v>
      </c>
      <c r="I91" s="2">
        <v>0</v>
      </c>
      <c r="J91" s="2">
        <v>1</v>
      </c>
      <c r="K91" s="16">
        <f t="shared" si="12"/>
        <v>36628.54</v>
      </c>
      <c r="L91" s="7">
        <v>47617.102000000006</v>
      </c>
      <c r="M91" s="2">
        <f t="shared" si="9"/>
        <v>0</v>
      </c>
      <c r="N91" s="2" t="s">
        <v>17</v>
      </c>
      <c r="O91" s="8"/>
    </row>
    <row r="92" spans="1:15" x14ac:dyDescent="0.35">
      <c r="A92" s="4" t="s">
        <v>188</v>
      </c>
      <c r="B92" s="2" t="s">
        <v>189</v>
      </c>
      <c r="C92" s="2" t="s">
        <v>20</v>
      </c>
      <c r="D92" s="2" t="s">
        <v>2</v>
      </c>
      <c r="E92" s="2" t="s">
        <v>3</v>
      </c>
      <c r="F92" s="2" t="s">
        <v>16</v>
      </c>
      <c r="G92" s="2">
        <v>0</v>
      </c>
      <c r="H92" s="2">
        <v>0</v>
      </c>
      <c r="I92" s="2">
        <v>0</v>
      </c>
      <c r="J92" s="2">
        <v>1</v>
      </c>
      <c r="K92" s="16">
        <f t="shared" si="12"/>
        <v>45495.39</v>
      </c>
      <c r="L92" s="7">
        <v>59144.006999999998</v>
      </c>
      <c r="M92" s="2">
        <f t="shared" si="9"/>
        <v>0</v>
      </c>
      <c r="N92" s="2" t="s">
        <v>17</v>
      </c>
      <c r="O92" s="8"/>
    </row>
    <row r="93" spans="1:15" x14ac:dyDescent="0.35">
      <c r="A93" s="4" t="s">
        <v>190</v>
      </c>
      <c r="B93" s="2" t="s">
        <v>191</v>
      </c>
      <c r="C93" s="2" t="s">
        <v>20</v>
      </c>
      <c r="D93" s="2" t="s">
        <v>2</v>
      </c>
      <c r="E93" s="2" t="s">
        <v>3</v>
      </c>
      <c r="F93" s="2" t="s">
        <v>16</v>
      </c>
      <c r="G93" s="2">
        <v>0</v>
      </c>
      <c r="H93" s="2">
        <v>0</v>
      </c>
      <c r="I93" s="2">
        <v>0</v>
      </c>
      <c r="J93" s="2">
        <v>1</v>
      </c>
      <c r="K93" s="16">
        <f t="shared" si="12"/>
        <v>68800</v>
      </c>
      <c r="L93" s="7">
        <v>89440</v>
      </c>
      <c r="M93" s="2">
        <f t="shared" si="9"/>
        <v>0</v>
      </c>
      <c r="N93" s="2" t="s">
        <v>17</v>
      </c>
      <c r="O93" s="8"/>
    </row>
    <row r="94" spans="1:15" x14ac:dyDescent="0.35">
      <c r="A94" s="4" t="s">
        <v>192</v>
      </c>
      <c r="B94" s="2" t="s">
        <v>193</v>
      </c>
      <c r="C94" s="2" t="s">
        <v>20</v>
      </c>
      <c r="D94" s="2" t="s">
        <v>2</v>
      </c>
      <c r="E94" s="2" t="s">
        <v>3</v>
      </c>
      <c r="F94" s="2" t="s">
        <v>16</v>
      </c>
      <c r="G94" s="2">
        <v>0</v>
      </c>
      <c r="H94" s="2">
        <v>0</v>
      </c>
      <c r="I94" s="2">
        <v>0</v>
      </c>
      <c r="J94" s="2">
        <v>1</v>
      </c>
      <c r="K94" s="11">
        <v>25980</v>
      </c>
      <c r="L94" s="2">
        <v>33774</v>
      </c>
      <c r="M94" s="2">
        <f t="shared" si="9"/>
        <v>0</v>
      </c>
      <c r="N94" s="2" t="s">
        <v>17</v>
      </c>
      <c r="O94" s="8"/>
    </row>
    <row r="95" spans="1:15" x14ac:dyDescent="0.35">
      <c r="A95" s="4" t="s">
        <v>194</v>
      </c>
      <c r="B95" s="2" t="s">
        <v>195</v>
      </c>
      <c r="C95" s="2" t="s">
        <v>20</v>
      </c>
      <c r="D95" s="2" t="s">
        <v>2</v>
      </c>
      <c r="E95" s="2" t="s">
        <v>3</v>
      </c>
      <c r="F95" s="2" t="s">
        <v>16</v>
      </c>
      <c r="G95" s="2">
        <v>0</v>
      </c>
      <c r="H95" s="2">
        <v>0</v>
      </c>
      <c r="I95" s="2">
        <v>0</v>
      </c>
      <c r="J95" s="2">
        <v>1</v>
      </c>
      <c r="K95" s="11">
        <v>26930</v>
      </c>
      <c r="L95" s="2">
        <v>35009</v>
      </c>
      <c r="M95" s="2">
        <f t="shared" si="9"/>
        <v>0</v>
      </c>
      <c r="N95" s="2" t="s">
        <v>17</v>
      </c>
      <c r="O95" s="8"/>
    </row>
    <row r="96" spans="1:15" x14ac:dyDescent="0.35">
      <c r="A96" s="4" t="s">
        <v>196</v>
      </c>
      <c r="B96" s="2" t="s">
        <v>197</v>
      </c>
      <c r="C96" s="2" t="s">
        <v>20</v>
      </c>
      <c r="D96" s="2" t="s">
        <v>2</v>
      </c>
      <c r="E96" s="2" t="s">
        <v>3</v>
      </c>
      <c r="F96" s="2" t="s">
        <v>16</v>
      </c>
      <c r="G96" s="2">
        <v>0</v>
      </c>
      <c r="H96" s="2">
        <v>0</v>
      </c>
      <c r="I96" s="2">
        <v>0</v>
      </c>
      <c r="J96" s="2">
        <v>1</v>
      </c>
      <c r="K96" s="11">
        <v>27666.29</v>
      </c>
      <c r="L96" s="2">
        <v>35966.18</v>
      </c>
      <c r="M96" s="2">
        <f t="shared" si="9"/>
        <v>0</v>
      </c>
      <c r="N96" s="2" t="s">
        <v>17</v>
      </c>
      <c r="O96" s="8"/>
    </row>
    <row r="97" spans="1:15" x14ac:dyDescent="0.35">
      <c r="A97" s="4" t="s">
        <v>198</v>
      </c>
      <c r="B97" s="2" t="s">
        <v>199</v>
      </c>
      <c r="C97" s="2" t="s">
        <v>20</v>
      </c>
      <c r="D97" s="2" t="s">
        <v>2</v>
      </c>
      <c r="E97" s="2" t="s">
        <v>3</v>
      </c>
      <c r="F97" s="2" t="s">
        <v>16</v>
      </c>
      <c r="G97" s="2">
        <v>0</v>
      </c>
      <c r="H97" s="2">
        <v>0</v>
      </c>
      <c r="I97" s="2">
        <v>0</v>
      </c>
      <c r="J97" s="2">
        <v>1</v>
      </c>
      <c r="K97" s="11">
        <v>28650</v>
      </c>
      <c r="L97" s="2">
        <v>37245</v>
      </c>
      <c r="M97" s="2">
        <f t="shared" si="9"/>
        <v>0</v>
      </c>
      <c r="N97" s="2" t="s">
        <v>17</v>
      </c>
      <c r="O97" s="8"/>
    </row>
    <row r="98" spans="1:15" x14ac:dyDescent="0.35">
      <c r="A98" s="4" t="s">
        <v>200</v>
      </c>
      <c r="B98" s="2" t="s">
        <v>201</v>
      </c>
      <c r="C98" s="2" t="s">
        <v>20</v>
      </c>
      <c r="D98" s="2" t="s">
        <v>2</v>
      </c>
      <c r="E98" s="2" t="s">
        <v>3</v>
      </c>
      <c r="F98" s="2" t="s">
        <v>16</v>
      </c>
      <c r="G98" s="2">
        <v>0</v>
      </c>
      <c r="H98" s="2">
        <v>0</v>
      </c>
      <c r="I98" s="2">
        <v>0</v>
      </c>
      <c r="J98" s="2">
        <v>1</v>
      </c>
      <c r="K98" s="11">
        <v>31680</v>
      </c>
      <c r="L98" s="2">
        <v>41184</v>
      </c>
      <c r="M98" s="2">
        <f t="shared" si="9"/>
        <v>0</v>
      </c>
      <c r="N98" s="2" t="s">
        <v>17</v>
      </c>
      <c r="O98" s="8"/>
    </row>
    <row r="99" spans="1:15" x14ac:dyDescent="0.35">
      <c r="A99" s="4" t="s">
        <v>202</v>
      </c>
      <c r="B99" s="2" t="s">
        <v>203</v>
      </c>
      <c r="C99" s="2" t="s">
        <v>20</v>
      </c>
      <c r="D99" s="2" t="s">
        <v>2</v>
      </c>
      <c r="E99" s="2" t="s">
        <v>3</v>
      </c>
      <c r="F99" s="2" t="s">
        <v>16</v>
      </c>
      <c r="G99" s="2">
        <v>0</v>
      </c>
      <c r="H99" s="2">
        <v>0</v>
      </c>
      <c r="I99" s="2">
        <v>0</v>
      </c>
      <c r="J99" s="2">
        <v>1</v>
      </c>
      <c r="K99" s="11">
        <v>40800</v>
      </c>
      <c r="L99" s="2">
        <v>53040</v>
      </c>
      <c r="M99" s="2">
        <f t="shared" si="9"/>
        <v>0</v>
      </c>
      <c r="N99" s="2" t="s">
        <v>17</v>
      </c>
      <c r="O99" s="8"/>
    </row>
    <row r="100" spans="1:15" x14ac:dyDescent="0.35">
      <c r="A100" s="4" t="s">
        <v>204</v>
      </c>
      <c r="B100" s="2" t="s">
        <v>205</v>
      </c>
      <c r="C100" s="2" t="s">
        <v>20</v>
      </c>
      <c r="D100" s="2" t="s">
        <v>2</v>
      </c>
      <c r="E100" s="2" t="s">
        <v>3</v>
      </c>
      <c r="F100" s="2" t="s">
        <v>16</v>
      </c>
      <c r="G100" s="2">
        <v>0</v>
      </c>
      <c r="H100" s="2">
        <v>0</v>
      </c>
      <c r="I100" s="2">
        <v>0</v>
      </c>
      <c r="J100" s="2">
        <v>1</v>
      </c>
      <c r="K100" s="11">
        <v>75680</v>
      </c>
      <c r="L100" s="2">
        <v>98384</v>
      </c>
      <c r="M100" s="2">
        <f t="shared" si="9"/>
        <v>0</v>
      </c>
      <c r="N100" s="2" t="s">
        <v>17</v>
      </c>
      <c r="O100" s="8"/>
    </row>
    <row r="101" spans="1:15" x14ac:dyDescent="0.35">
      <c r="A101" s="4" t="s">
        <v>206</v>
      </c>
      <c r="B101" s="2" t="s">
        <v>207</v>
      </c>
      <c r="C101" s="2" t="s">
        <v>20</v>
      </c>
      <c r="D101" s="2" t="s">
        <v>2</v>
      </c>
      <c r="E101" s="2" t="s">
        <v>3</v>
      </c>
      <c r="F101" s="2" t="s">
        <v>208</v>
      </c>
      <c r="G101" s="2">
        <v>0</v>
      </c>
      <c r="H101" s="2">
        <v>0</v>
      </c>
      <c r="I101" s="2">
        <v>0</v>
      </c>
      <c r="J101" s="2">
        <v>1</v>
      </c>
      <c r="K101" s="11">
        <v>5950</v>
      </c>
      <c r="L101" s="17">
        <v>8896</v>
      </c>
      <c r="M101" s="2">
        <f t="shared" ref="M101:M118" si="13">SUM(I101)*K101</f>
        <v>0</v>
      </c>
      <c r="N101" s="2" t="s">
        <v>17</v>
      </c>
      <c r="O101" s="8"/>
    </row>
    <row r="102" spans="1:15" x14ac:dyDescent="0.35">
      <c r="A102" s="4" t="s">
        <v>209</v>
      </c>
      <c r="B102" s="2" t="s">
        <v>210</v>
      </c>
      <c r="C102" s="2" t="s">
        <v>20</v>
      </c>
      <c r="D102" s="2" t="s">
        <v>2</v>
      </c>
      <c r="E102" s="2" t="s">
        <v>3</v>
      </c>
      <c r="F102" s="2" t="s">
        <v>208</v>
      </c>
      <c r="G102" s="2">
        <v>0</v>
      </c>
      <c r="H102" s="2">
        <v>0</v>
      </c>
      <c r="I102" s="2">
        <v>0</v>
      </c>
      <c r="J102" s="2">
        <v>1</v>
      </c>
      <c r="K102" s="11">
        <v>9500</v>
      </c>
      <c r="L102" s="17">
        <v>12708</v>
      </c>
      <c r="M102" s="2">
        <f t="shared" si="13"/>
        <v>0</v>
      </c>
      <c r="N102" s="2" t="s">
        <v>17</v>
      </c>
      <c r="O102" s="8"/>
    </row>
    <row r="103" spans="1:15" x14ac:dyDescent="0.35">
      <c r="A103" s="4" t="s">
        <v>211</v>
      </c>
      <c r="B103" s="2" t="s">
        <v>212</v>
      </c>
      <c r="C103" s="2" t="s">
        <v>20</v>
      </c>
      <c r="D103" s="2" t="s">
        <v>2</v>
      </c>
      <c r="E103" s="2" t="s">
        <v>3</v>
      </c>
      <c r="F103" s="2" t="s">
        <v>208</v>
      </c>
      <c r="G103" s="2">
        <v>0</v>
      </c>
      <c r="H103" s="2">
        <v>0</v>
      </c>
      <c r="I103" s="2">
        <v>0</v>
      </c>
      <c r="J103" s="2">
        <v>1</v>
      </c>
      <c r="K103" s="11">
        <v>12500</v>
      </c>
      <c r="L103" s="17">
        <v>17193</v>
      </c>
      <c r="M103" s="2">
        <f t="shared" si="13"/>
        <v>0</v>
      </c>
      <c r="N103" s="2" t="s">
        <v>17</v>
      </c>
      <c r="O103" s="8"/>
    </row>
    <row r="104" spans="1:15" x14ac:dyDescent="0.35">
      <c r="A104" s="4" t="s">
        <v>213</v>
      </c>
      <c r="B104" s="2" t="s">
        <v>214</v>
      </c>
      <c r="C104" s="2" t="s">
        <v>20</v>
      </c>
      <c r="D104" s="2" t="s">
        <v>2</v>
      </c>
      <c r="E104" s="2" t="s">
        <v>3</v>
      </c>
      <c r="F104" s="2" t="s">
        <v>208</v>
      </c>
      <c r="G104" s="2">
        <v>0</v>
      </c>
      <c r="H104" s="2">
        <v>0</v>
      </c>
      <c r="I104" s="2">
        <v>0</v>
      </c>
      <c r="J104" s="2">
        <v>1</v>
      </c>
      <c r="K104" s="11">
        <v>14450</v>
      </c>
      <c r="L104" s="17">
        <v>21603</v>
      </c>
      <c r="M104" s="2">
        <f t="shared" si="13"/>
        <v>0</v>
      </c>
      <c r="N104" s="2" t="s">
        <v>17</v>
      </c>
      <c r="O104" s="8"/>
    </row>
    <row r="105" spans="1:15" x14ac:dyDescent="0.35">
      <c r="A105" s="4" t="s">
        <v>215</v>
      </c>
      <c r="B105" s="2" t="s">
        <v>216</v>
      </c>
      <c r="C105" s="2" t="s">
        <v>20</v>
      </c>
      <c r="D105" s="2" t="s">
        <v>2</v>
      </c>
      <c r="E105" s="2" t="s">
        <v>3</v>
      </c>
      <c r="F105" s="2" t="s">
        <v>208</v>
      </c>
      <c r="G105" s="2">
        <v>0</v>
      </c>
      <c r="H105" s="2">
        <v>0</v>
      </c>
      <c r="I105" s="2">
        <v>0</v>
      </c>
      <c r="J105" s="2">
        <v>1</v>
      </c>
      <c r="K105" s="11">
        <v>18500</v>
      </c>
      <c r="L105" s="17">
        <v>21678</v>
      </c>
      <c r="M105" s="2">
        <f t="shared" si="13"/>
        <v>0</v>
      </c>
      <c r="N105" s="2" t="s">
        <v>17</v>
      </c>
      <c r="O105" s="8"/>
    </row>
    <row r="106" spans="1:15" x14ac:dyDescent="0.35">
      <c r="A106" s="4" t="s">
        <v>217</v>
      </c>
      <c r="B106" s="2" t="s">
        <v>218</v>
      </c>
      <c r="C106" s="2" t="s">
        <v>20</v>
      </c>
      <c r="D106" s="2" t="s">
        <v>2</v>
      </c>
      <c r="E106" s="2" t="s">
        <v>3</v>
      </c>
      <c r="F106" s="2" t="s">
        <v>208</v>
      </c>
      <c r="G106" s="2">
        <v>0</v>
      </c>
      <c r="H106" s="2">
        <v>0</v>
      </c>
      <c r="I106" s="2">
        <v>0</v>
      </c>
      <c r="J106" s="2">
        <v>1</v>
      </c>
      <c r="K106" s="11">
        <v>24500</v>
      </c>
      <c r="L106" s="18">
        <v>27658</v>
      </c>
      <c r="M106" s="2">
        <f t="shared" si="13"/>
        <v>0</v>
      </c>
      <c r="N106" s="2" t="s">
        <v>17</v>
      </c>
      <c r="O106" s="8"/>
    </row>
    <row r="107" spans="1:15" x14ac:dyDescent="0.35">
      <c r="A107" s="4" t="s">
        <v>219</v>
      </c>
      <c r="B107" s="2" t="s">
        <v>220</v>
      </c>
      <c r="C107" s="2" t="s">
        <v>20</v>
      </c>
      <c r="D107" s="2" t="s">
        <v>2</v>
      </c>
      <c r="E107" s="2" t="s">
        <v>3</v>
      </c>
      <c r="F107" s="2" t="s">
        <v>208</v>
      </c>
      <c r="G107" s="2">
        <v>0</v>
      </c>
      <c r="H107" s="2">
        <v>0</v>
      </c>
      <c r="I107" s="2">
        <v>0</v>
      </c>
      <c r="J107" s="2">
        <v>1</v>
      </c>
      <c r="K107" s="11">
        <v>3500</v>
      </c>
      <c r="L107" s="17">
        <v>5233</v>
      </c>
      <c r="M107" s="2">
        <f t="shared" si="13"/>
        <v>0</v>
      </c>
      <c r="N107" s="2" t="s">
        <v>17</v>
      </c>
      <c r="O107" s="8"/>
    </row>
    <row r="108" spans="1:15" x14ac:dyDescent="0.35">
      <c r="A108" s="4" t="s">
        <v>221</v>
      </c>
      <c r="B108" s="2" t="s">
        <v>222</v>
      </c>
      <c r="C108" s="2" t="s">
        <v>20</v>
      </c>
      <c r="D108" s="2" t="s">
        <v>2</v>
      </c>
      <c r="E108" s="2" t="s">
        <v>3</v>
      </c>
      <c r="F108" s="2" t="s">
        <v>208</v>
      </c>
      <c r="G108" s="2">
        <v>0</v>
      </c>
      <c r="H108" s="2">
        <v>0</v>
      </c>
      <c r="I108" s="2">
        <v>0</v>
      </c>
      <c r="J108" s="2">
        <v>1</v>
      </c>
      <c r="K108" s="11">
        <v>5000</v>
      </c>
      <c r="L108" s="17">
        <v>7475</v>
      </c>
      <c r="M108" s="2">
        <f t="shared" si="13"/>
        <v>0</v>
      </c>
      <c r="N108" s="2" t="s">
        <v>17</v>
      </c>
      <c r="O108" s="8"/>
    </row>
    <row r="109" spans="1:15" x14ac:dyDescent="0.35">
      <c r="A109" s="4" t="s">
        <v>223</v>
      </c>
      <c r="B109" s="2" t="s">
        <v>224</v>
      </c>
      <c r="C109" s="2" t="s">
        <v>20</v>
      </c>
      <c r="D109" s="2" t="s">
        <v>2</v>
      </c>
      <c r="E109" s="2" t="s">
        <v>3</v>
      </c>
      <c r="F109" s="2" t="s">
        <v>208</v>
      </c>
      <c r="G109" s="2">
        <v>0</v>
      </c>
      <c r="H109" s="2">
        <v>0</v>
      </c>
      <c r="I109" s="2">
        <v>0</v>
      </c>
      <c r="J109" s="2">
        <v>1</v>
      </c>
      <c r="K109" s="11">
        <v>8000</v>
      </c>
      <c r="L109" s="17">
        <v>11960</v>
      </c>
      <c r="M109" s="2">
        <f t="shared" si="13"/>
        <v>0</v>
      </c>
      <c r="N109" s="2" t="s">
        <v>17</v>
      </c>
      <c r="O109" s="8"/>
    </row>
    <row r="110" spans="1:15" x14ac:dyDescent="0.35">
      <c r="A110" s="4" t="s">
        <v>225</v>
      </c>
      <c r="B110" s="2" t="s">
        <v>226</v>
      </c>
      <c r="C110" s="2" t="s">
        <v>20</v>
      </c>
      <c r="D110" s="2" t="s">
        <v>2</v>
      </c>
      <c r="E110" s="2" t="s">
        <v>3</v>
      </c>
      <c r="F110" s="2" t="s">
        <v>208</v>
      </c>
      <c r="G110" s="2">
        <v>0</v>
      </c>
      <c r="H110" s="2">
        <v>0</v>
      </c>
      <c r="I110" s="2">
        <v>0</v>
      </c>
      <c r="J110" s="2">
        <v>1</v>
      </c>
      <c r="K110" s="11">
        <v>8500</v>
      </c>
      <c r="L110" s="17">
        <v>12708</v>
      </c>
      <c r="M110" s="2">
        <f t="shared" si="13"/>
        <v>0</v>
      </c>
      <c r="N110" s="2" t="s">
        <v>17</v>
      </c>
      <c r="O110" s="8"/>
    </row>
    <row r="111" spans="1:15" x14ac:dyDescent="0.35">
      <c r="A111" s="4" t="s">
        <v>227</v>
      </c>
      <c r="B111" s="2" t="s">
        <v>228</v>
      </c>
      <c r="C111" s="2" t="s">
        <v>20</v>
      </c>
      <c r="D111" s="2" t="s">
        <v>2</v>
      </c>
      <c r="E111" s="2" t="s">
        <v>3</v>
      </c>
      <c r="F111" s="2" t="s">
        <v>208</v>
      </c>
      <c r="G111" s="2">
        <v>0</v>
      </c>
      <c r="H111" s="2">
        <v>0</v>
      </c>
      <c r="I111" s="2">
        <v>0</v>
      </c>
      <c r="J111" s="2">
        <v>1</v>
      </c>
      <c r="K111" s="11">
        <v>10000</v>
      </c>
      <c r="L111" s="17">
        <v>14950</v>
      </c>
      <c r="M111" s="2">
        <f t="shared" si="13"/>
        <v>0</v>
      </c>
      <c r="N111" s="2" t="s">
        <v>17</v>
      </c>
      <c r="O111" s="8"/>
    </row>
    <row r="112" spans="1:15" x14ac:dyDescent="0.35">
      <c r="A112" s="4" t="s">
        <v>229</v>
      </c>
      <c r="B112" s="2" t="s">
        <v>230</v>
      </c>
      <c r="C112" s="2" t="s">
        <v>20</v>
      </c>
      <c r="D112" s="2" t="s">
        <v>2</v>
      </c>
      <c r="E112" s="2" t="s">
        <v>3</v>
      </c>
      <c r="F112" s="2" t="s">
        <v>208</v>
      </c>
      <c r="G112" s="2">
        <v>0</v>
      </c>
      <c r="H112" s="2">
        <v>0</v>
      </c>
      <c r="I112" s="2">
        <v>0</v>
      </c>
      <c r="J112" s="2">
        <v>1</v>
      </c>
      <c r="K112" s="11">
        <v>15000</v>
      </c>
      <c r="L112" s="17">
        <v>22425</v>
      </c>
      <c r="M112" s="2">
        <f t="shared" si="13"/>
        <v>0</v>
      </c>
      <c r="N112" s="2" t="s">
        <v>17</v>
      </c>
      <c r="O112" s="8"/>
    </row>
    <row r="113" spans="1:15" x14ac:dyDescent="0.35">
      <c r="A113" s="4" t="s">
        <v>231</v>
      </c>
      <c r="B113" s="2" t="s">
        <v>232</v>
      </c>
      <c r="C113" s="2" t="s">
        <v>20</v>
      </c>
      <c r="D113" s="2" t="s">
        <v>2</v>
      </c>
      <c r="E113" s="2" t="s">
        <v>3</v>
      </c>
      <c r="F113" s="2" t="s">
        <v>208</v>
      </c>
      <c r="G113" s="2">
        <v>0</v>
      </c>
      <c r="H113" s="2">
        <v>0</v>
      </c>
      <c r="I113" s="2">
        <v>0</v>
      </c>
      <c r="J113" s="2">
        <v>1</v>
      </c>
      <c r="K113" s="11">
        <v>8750</v>
      </c>
      <c r="L113" s="17">
        <v>13082</v>
      </c>
      <c r="M113" s="2">
        <f t="shared" si="13"/>
        <v>0</v>
      </c>
      <c r="N113" s="2" t="s">
        <v>17</v>
      </c>
      <c r="O113" s="8"/>
    </row>
    <row r="114" spans="1:15" x14ac:dyDescent="0.35">
      <c r="A114" s="4" t="s">
        <v>233</v>
      </c>
      <c r="B114" s="2" t="s">
        <v>234</v>
      </c>
      <c r="C114" s="2" t="s">
        <v>20</v>
      </c>
      <c r="D114" s="2" t="s">
        <v>2</v>
      </c>
      <c r="E114" s="2" t="s">
        <v>3</v>
      </c>
      <c r="F114" s="2" t="s">
        <v>208</v>
      </c>
      <c r="G114" s="2">
        <v>0</v>
      </c>
      <c r="H114" s="2">
        <v>0</v>
      </c>
      <c r="I114" s="2">
        <v>0</v>
      </c>
      <c r="J114" s="2">
        <v>1</v>
      </c>
      <c r="K114" s="11">
        <v>12000</v>
      </c>
      <c r="L114" s="17">
        <v>17940</v>
      </c>
      <c r="M114" s="2">
        <f t="shared" si="13"/>
        <v>0</v>
      </c>
      <c r="N114" s="2" t="s">
        <v>17</v>
      </c>
      <c r="O114" s="8"/>
    </row>
    <row r="115" spans="1:15" x14ac:dyDescent="0.35">
      <c r="A115" s="4" t="s">
        <v>235</v>
      </c>
      <c r="B115" s="2" t="s">
        <v>236</v>
      </c>
      <c r="C115" s="2" t="s">
        <v>20</v>
      </c>
      <c r="D115" s="2" t="s">
        <v>2</v>
      </c>
      <c r="E115" s="2" t="s">
        <v>3</v>
      </c>
      <c r="F115" s="2" t="s">
        <v>208</v>
      </c>
      <c r="G115" s="2">
        <v>0</v>
      </c>
      <c r="H115" s="2">
        <v>0</v>
      </c>
      <c r="I115" s="2">
        <v>0</v>
      </c>
      <c r="J115" s="2">
        <v>1</v>
      </c>
      <c r="K115" s="11">
        <v>20000</v>
      </c>
      <c r="L115" s="17">
        <v>29900</v>
      </c>
      <c r="M115" s="2">
        <f t="shared" si="13"/>
        <v>0</v>
      </c>
      <c r="N115" s="2" t="s">
        <v>17</v>
      </c>
      <c r="O115" s="8"/>
    </row>
    <row r="116" spans="1:15" x14ac:dyDescent="0.35">
      <c r="A116" s="4" t="s">
        <v>237</v>
      </c>
      <c r="B116" s="2" t="s">
        <v>238</v>
      </c>
      <c r="C116" s="2" t="s">
        <v>20</v>
      </c>
      <c r="D116" s="2" t="s">
        <v>2</v>
      </c>
      <c r="E116" s="2" t="s">
        <v>3</v>
      </c>
      <c r="F116" s="2" t="s">
        <v>208</v>
      </c>
      <c r="G116" s="2">
        <v>0</v>
      </c>
      <c r="H116" s="2">
        <v>0</v>
      </c>
      <c r="I116" s="2">
        <v>0</v>
      </c>
      <c r="J116" s="2">
        <v>1</v>
      </c>
      <c r="K116" s="11">
        <v>21250</v>
      </c>
      <c r="L116" s="17">
        <v>31769</v>
      </c>
      <c r="M116" s="2">
        <f t="shared" si="13"/>
        <v>0</v>
      </c>
      <c r="N116" s="2" t="s">
        <v>17</v>
      </c>
      <c r="O116" s="8"/>
    </row>
    <row r="117" spans="1:15" x14ac:dyDescent="0.35">
      <c r="A117" s="4" t="s">
        <v>239</v>
      </c>
      <c r="B117" s="2" t="s">
        <v>240</v>
      </c>
      <c r="C117" s="2" t="s">
        <v>20</v>
      </c>
      <c r="D117" s="2" t="s">
        <v>2</v>
      </c>
      <c r="E117" s="2" t="s">
        <v>3</v>
      </c>
      <c r="F117" s="2" t="s">
        <v>208</v>
      </c>
      <c r="G117" s="2">
        <v>0</v>
      </c>
      <c r="H117" s="2">
        <v>0</v>
      </c>
      <c r="I117" s="2">
        <v>0</v>
      </c>
      <c r="J117" s="2">
        <v>1</v>
      </c>
      <c r="K117" s="11">
        <v>28000</v>
      </c>
      <c r="L117" s="17">
        <v>41860</v>
      </c>
      <c r="M117" s="2">
        <f t="shared" si="13"/>
        <v>0</v>
      </c>
      <c r="N117" s="2" t="s">
        <v>17</v>
      </c>
      <c r="O117" s="8"/>
    </row>
    <row r="118" spans="1:15" x14ac:dyDescent="0.35">
      <c r="A118" s="4" t="s">
        <v>241</v>
      </c>
      <c r="B118" s="2" t="s">
        <v>242</v>
      </c>
      <c r="C118" s="2" t="s">
        <v>20</v>
      </c>
      <c r="D118" s="2" t="s">
        <v>2</v>
      </c>
      <c r="E118" s="2" t="s">
        <v>3</v>
      </c>
      <c r="F118" s="2" t="s">
        <v>208</v>
      </c>
      <c r="G118" s="2">
        <v>0</v>
      </c>
      <c r="H118" s="2">
        <v>0</v>
      </c>
      <c r="I118" s="2">
        <v>0</v>
      </c>
      <c r="J118" s="2">
        <v>1</v>
      </c>
      <c r="K118" s="11">
        <v>36000</v>
      </c>
      <c r="L118" s="17">
        <v>53820</v>
      </c>
      <c r="M118" s="2">
        <f t="shared" si="13"/>
        <v>0</v>
      </c>
      <c r="N118" s="2" t="s">
        <v>17</v>
      </c>
      <c r="O11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Rey</dc:creator>
  <cp:lastModifiedBy>Gil Rey</cp:lastModifiedBy>
  <dcterms:created xsi:type="dcterms:W3CDTF">2026-08-22T06:09:21Z</dcterms:created>
  <dcterms:modified xsi:type="dcterms:W3CDTF">2026-08-22T06:17:32Z</dcterms:modified>
</cp:coreProperties>
</file>