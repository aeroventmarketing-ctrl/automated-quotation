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76E898BF-B7CD-4CBB-A55E-95EF8D2FC929}" xr6:coauthVersionLast="47" xr6:coauthVersionMax="47" xr10:uidLastSave="{00000000-0000-0000-0000-000000000000}"/>
  <workbookProtection workbookAlgorithmName="SHA-512" workbookHashValue="w5ZW61v/zi/OpZPR7rhmUzjMnyRyI2GWwbPlJmw5YbGv812h1R897idim3tQZy51IhE/MNlXIxwkSuvf/myRHg==" workbookSaltValue="1M4kviwif2Xol+GFBXmv8w==" workbookSpinCount="100000" lockStructure="1"/>
  <bookViews>
    <workbookView xWindow="-110" yWindow="-110" windowWidth="25820" windowHeight="15500" firstSheet="1" activeTab="1" xr2:uid="{D46C57F3-5AEC-4817-9118-08C7135DF8D2}"/>
  </bookViews>
  <sheets>
    <sheet name="Panel Fan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<sst xmlns="http://schemas.openxmlformats.org/spreadsheetml/2006/main" count="438" uniqueCount="223">
  <si>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</si>
  <si>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</si>
  <si>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</si>
  <si>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</si>
  <si>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</si>
  <si>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</si>
  <si>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</si>
  <si>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</si>
  <si>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</si>
  <si>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</si>
  <si>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</si>
  <si>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</si>
  <si>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</si>
  <si>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UCP205</t>
  </si>
  <si>
    <t>UCP207</t>
  </si>
  <si>
    <t>UCP208</t>
  </si>
  <si>
    <t>UCP209</t>
  </si>
  <si>
    <t>Impeller</t>
  </si>
  <si>
    <t>:</t>
  </si>
  <si>
    <t>Drive</t>
  </si>
  <si>
    <t>___________________________________</t>
  </si>
  <si>
    <t>Clockwise &amp; Counterclockwise</t>
  </si>
  <si>
    <t>Direct</t>
  </si>
  <si>
    <t xml:space="preserve"> </t>
  </si>
  <si>
    <t>Blade Diameter</t>
  </si>
  <si>
    <t>Motor HP</t>
  </si>
  <si>
    <t>Motor Phase</t>
  </si>
  <si>
    <t>Bore Size</t>
  </si>
  <si>
    <t>Hub Details</t>
  </si>
  <si>
    <t>1"Ø x 5/16” keyway</t>
  </si>
  <si>
    <t>1 1/4"Ø x 3/8” keyway</t>
  </si>
  <si>
    <t>1 1/2”Ø x 3/8” keyway</t>
  </si>
  <si>
    <t>1 3/4 x 1/2” keyway</t>
  </si>
  <si>
    <t>2"Ø x 1/2” keyway</t>
  </si>
  <si>
    <t>3”Ø x 3”L x 1 1/2”Ø bore x 3/8” keyway</t>
  </si>
  <si>
    <t>Directly Coupled</t>
  </si>
  <si>
    <t>RPM</t>
  </si>
  <si>
    <t>Shaft Diameter</t>
  </si>
  <si>
    <t>Keyway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</si>
  <si>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</si>
  <si>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</si>
  <si>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</si>
  <si>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</si>
  <si>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</si>
  <si>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</si>
  <si>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</si>
  <si>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</si>
  <si>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</si>
  <si>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</si>
  <si>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</si>
  <si>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</si>
  <si>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</si>
  <si>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</si>
  <si>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</si>
  <si>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</si>
  <si>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</si>
  <si>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</si>
  <si>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</si>
  <si>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</si>
  <si>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</si>
  <si>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</si>
  <si>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</si>
  <si>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</si>
  <si>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</si>
  <si>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</si>
  <si>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</si>
  <si>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</si>
  <si>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</si>
  <si>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</si>
  <si>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</si>
  <si>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</si>
  <si>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</si>
  <si>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</si>
  <si>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</si>
  <si>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</si>
  <si>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</si>
  <si>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</si>
  <si>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</si>
  <si>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</si>
  <si>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</si>
  <si>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</si>
  <si>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</si>
  <si>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TECO_3_Phase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</si>
  <si>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</si>
  <si>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</si>
  <si>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</si>
  <si>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</si>
  <si>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</si>
  <si>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</si>
  <si>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</si>
  <si>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</si>
  <si>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</si>
  <si>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</si>
  <si>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</si>
  <si>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</si>
  <si>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</si>
  <si>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</si>
  <si>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</si>
  <si>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</si>
  <si>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</si>
  <si>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</si>
  <si>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</si>
  <si>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</si>
  <si>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</si>
  <si>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</si>
  <si>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</si>
  <si>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</si>
  <si>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</si>
  <si>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</si>
  <si>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</si>
  <si>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</si>
  <si>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</si>
  <si>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</si>
  <si>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</si>
  <si>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</si>
  <si>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</si>
  <si>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</si>
  <si>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</si>
  <si>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</si>
  <si>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</si>
  <si>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</si>
  <si>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</si>
  <si>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</si>
  <si>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</si>
  <si>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</si>
  <si>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</si>
  <si>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</si>
  <si>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</si>
  <si>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</si>
  <si>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</si>
  <si>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</si>
  <si>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</si>
  <si>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</si>
  <si>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</si>
  <si>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</si>
  <si>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</si>
  <si>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</si>
  <si>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</si>
  <si>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</si>
  <si>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</si>
  <si>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</si>
  <si>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</si>
  <si>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</si>
  <si>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</si>
  <si>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</si>
  <si>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</si>
  <si>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</si>
  <si>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</si>
  <si>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</si>
  <si>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</si>
  <si>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</si>
  <si>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</si>
  <si>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</si>
  <si>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</si>
  <si>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</si>
  <si>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</si>
  <si>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</si>
  <si>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</si>
  <si>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</si>
  <si>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</si>
  <si>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</si>
  <si>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</si>
  <si>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</si>
  <si>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</si>
  <si>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</si>
  <si>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</si>
  <si>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</si>
  <si>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</si>
  <si>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</si>
  <si>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</si>
  <si>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</si>
  <si>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</si>
  <si>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</si>
  <si>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</si>
  <si>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</si>
  <si>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</si>
  <si>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</si>
  <si>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</si>
  <si>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</si>
  <si>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</si>
  <si>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</si>
  <si>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</si>
  <si>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</si>
  <si>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</si>
  <si>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</si>
  <si>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</si>
  <si>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</si>
  <si>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</si>
  <si>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Make</t>
  </si>
  <si>
    <t>Customized</t>
  </si>
  <si>
    <t>Client Design</t>
  </si>
  <si>
    <t>(</t>
  </si>
  <si>
    <t>)</t>
  </si>
  <si>
    <t xml:space="preserve">Standard </t>
  </si>
  <si>
    <t>Panel Fan</t>
  </si>
  <si>
    <t>Propeller</t>
  </si>
  <si>
    <t>Kidney Type</t>
  </si>
  <si>
    <t>Paddle Type</t>
  </si>
  <si>
    <t xml:space="preserve">Airfoil </t>
  </si>
  <si>
    <t>Wall Mounted</t>
  </si>
  <si>
    <t>EWF</t>
  </si>
  <si>
    <t>Ceiling Mounted</t>
  </si>
  <si>
    <t>FAWF</t>
  </si>
  <si>
    <t>With Stand</t>
  </si>
  <si>
    <t>Ceiling Hang</t>
  </si>
  <si>
    <t>Fan Type</t>
  </si>
  <si>
    <t>Exhaust 1</t>
  </si>
  <si>
    <t>Exhaust 2</t>
  </si>
  <si>
    <t>Supply 1</t>
  </si>
  <si>
    <t>Supply 2</t>
  </si>
  <si>
    <t>/afbm rev 6 : 03/28/2026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</si>
  <si>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</si>
  <si>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</si>
  <si>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</si>
  <si>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</si>
  <si>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2 ”Ø x 1/2" keyway</t>
  </si>
  <si>
    <t>UCP211</t>
  </si>
  <si>
    <t>Flange Mounted</t>
  </si>
  <si>
    <t>2A</t>
  </si>
  <si>
    <t>AFBM-JO2600048</t>
  </si>
  <si>
    <t>pcs.</t>
  </si>
  <si>
    <t>25015 cfm @ 0.36" w.g.</t>
  </si>
  <si>
    <t>28782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</si>
</sst>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13608</xdr:rowOff>
    </xdr:from>
    <xdr:to>
      <xdr:col>22</xdr:col>
      <xdr:colOff>489857</xdr:colOff>
      <xdr:row>34</xdr:row>
      <xdr:rowOff>5035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3BEA7-E75B-4175-8086-F01323DB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4215"/>
          <a:ext cx="7148286" cy="203703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131535</xdr:colOff>
      <xdr:row>33</xdr:row>
      <xdr:rowOff>9071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82D2BF-C575-EB01-28BD-AF03B09DDC4C}"/>
            </a:ext>
          </a:extLst>
        </xdr:cNvPr>
        <xdr:cNvSpPr txBox="1"/>
      </xdr:nvSpPr>
      <xdr:spPr>
        <a:xfrm>
          <a:off x="2834821" y="5819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8</xdr:col>
      <xdr:colOff>113392</xdr:colOff>
      <xdr:row>32</xdr:row>
      <xdr:rowOff>140607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7F93A-3FE1-A6C5-124B-1C9741ABD42B}"/>
            </a:ext>
          </a:extLst>
        </xdr:cNvPr>
        <xdr:cNvSpPr txBox="1"/>
      </xdr:nvSpPr>
      <xdr:spPr>
        <a:xfrm>
          <a:off x="2608035" y="576489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12</xdr:col>
      <xdr:colOff>306609</xdr:colOff>
      <xdr:row>32</xdr:row>
      <xdr:rowOff>138792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DC79D4-0DCA-4F60-8CA4-5BF26F506236}"/>
            </a:ext>
          </a:extLst>
        </xdr:cNvPr>
        <xdr:cNvSpPr txBox="1"/>
      </xdr:nvSpPr>
      <xdr:spPr>
        <a:xfrm>
          <a:off x="3821788" y="576307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17</xdr:col>
      <xdr:colOff>214080</xdr:colOff>
      <xdr:row>32</xdr:row>
      <xdr:rowOff>159659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20B51-A6CB-4B9E-A696-68D1FA3A90E5}"/>
            </a:ext>
          </a:extLst>
        </xdr:cNvPr>
        <xdr:cNvSpPr txBox="1"/>
      </xdr:nvSpPr>
      <xdr:spPr>
        <a:xfrm>
          <a:off x="5126259" y="578394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22</xdr:col>
      <xdr:colOff>89797</xdr:colOff>
      <xdr:row>32</xdr:row>
      <xdr:rowOff>157846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5DE8A6-7341-4869-A2C5-8FABEAAF4DF8}"/>
            </a:ext>
          </a:extLst>
        </xdr:cNvPr>
        <xdr:cNvSpPr txBox="1"/>
      </xdr:nvSpPr>
      <xdr:spPr>
        <a:xfrm>
          <a:off x="6748226" y="5782132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28" zoomScale="140" zoomScaleNormal="140" workbookViewId="0">
      <selection activeCell="X50" sqref="X50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52" t="s">
        <v>168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1:23">
      <c r="A13" t="s">
        <v>161</v>
      </c>
      <c r="B13" t="s">
        <v>18</v>
      </c>
      <c r="D13" s="64" t="str">
        <f>Source!B66</f>
        <v>AFBM-JO2600048</v>
      </c>
      <c r="E13" s="65"/>
      <c r="F13" s="65"/>
      <c r="G13" s="65"/>
      <c r="H13" s="65"/>
      <c r="I13" s="65"/>
      <c r="J13" s="65"/>
      <c r="K13" s="65"/>
      <c r="O13" t="s">
        <v>164</v>
      </c>
      <c r="Q13" t="s">
        <v>18</v>
      </c>
      <c r="S13" s="66">
        <f>Source!B65</f>
        <v>46210</v>
      </c>
      <c r="T13" s="66"/>
      <c r="U13" s="66"/>
      <c r="V13" s="66"/>
    </row>
    <row r="14" spans="1:23" ht="5" customHeight="1">
      <c r="C14" s="14" t="s">
        <v>166</v>
      </c>
      <c r="D14" s="5"/>
      <c r="R14" t="s">
        <v>211</v>
      </c>
    </row>
    <row r="15" spans="1:23">
      <c r="A15" t="s">
        <v>162</v>
      </c>
      <c r="B15" t="s">
        <v>18</v>
      </c>
      <c r="F15" s="4">
        <f>Source!B70</f>
        <v>10</v>
      </c>
      <c r="G15" s="4"/>
      <c r="H15" s="67" t="str">
        <f>Source!B71</f>
        <v>pcs.</v>
      </c>
      <c r="I15" s="67"/>
      <c r="J15" s="55">
        <f>Source!B77</f>
        <v>42</v>
      </c>
      <c r="K15" s="55"/>
      <c r="L15" s="4" t="s">
        <v>178</v>
      </c>
      <c r="M15" s="4"/>
      <c r="N15" s="4" t="str">
        <f>Source!B67</f>
        <v>EWF</v>
      </c>
      <c r="P15" s="36" t="s">
        <v>191</v>
      </c>
      <c r="Q15" s="21"/>
      <c r="R15" s="37" t="str">
        <f>Source!B68</f>
        <v xml:space="preserve">Standard </v>
      </c>
      <c r="S15" s="37"/>
      <c r="T15" s="37" t="s">
        <v>192</v>
      </c>
    </row>
    <row r="16" spans="1:23" ht="5" customHeight="1">
      <c r="C16" t="s">
        <v>212</v>
      </c>
    </row>
    <row r="17" spans="1:21">
      <c r="A17" t="s">
        <v>165</v>
      </c>
      <c r="C17" s="66">
        <f>Source!B69</f>
        <v>46210</v>
      </c>
      <c r="D17" s="66"/>
      <c r="E17" s="66"/>
      <c r="F17" s="66"/>
      <c r="G17" s="68"/>
      <c r="I17" t="s">
        <v>179</v>
      </c>
      <c r="R17" t="s">
        <v>180</v>
      </c>
    </row>
    <row r="18" spans="1:21" ht="5" customHeight="1">
      <c r="B18" t="s">
        <v>167</v>
      </c>
      <c r="L18" t="s">
        <v>167</v>
      </c>
      <c r="U18" t="s">
        <v>167</v>
      </c>
    </row>
    <row r="20" spans="1:21" ht="20">
      <c r="A20" s="22" t="s">
        <v>169</v>
      </c>
      <c r="F20" s="53" t="s">
        <v>170</v>
      </c>
      <c r="G20" s="53"/>
      <c r="H20" s="54">
        <f>Source!B72</f>
        <v>38</v>
      </c>
      <c r="I20" s="54"/>
      <c r="J20" t="s">
        <v>171</v>
      </c>
      <c r="L20" s="53" t="s">
        <v>170</v>
      </c>
      <c r="M20" s="53"/>
      <c r="N20" s="25">
        <f>Source!B73</f>
        <v>15</v>
      </c>
      <c r="O20" t="s">
        <v>171</v>
      </c>
    </row>
    <row r="21" spans="1:21" ht="5" customHeight="1">
      <c r="A21" s="22"/>
      <c r="F21" s="23"/>
      <c r="G21" s="23"/>
      <c r="H21" t="s">
        <v>172</v>
      </c>
      <c r="I21" s="24"/>
      <c r="L21" s="23"/>
      <c r="M21" s="23"/>
      <c r="N21" t="s">
        <v>172</v>
      </c>
      <c r="O21" s="24"/>
    </row>
    <row r="31" spans="1:21">
      <c r="M31" t="s">
        <v>23</v>
      </c>
    </row>
    <row r="36" spans="1:24" ht="18" customHeight="1">
      <c r="A36" s="1" t="s">
        <v>0</v>
      </c>
      <c r="B36" s="1" t="s">
        <v>18</v>
      </c>
      <c r="C36" s="56" t="str">
        <f>Source!B78</f>
        <v>Exhaust 1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 t="s">
        <v>17</v>
      </c>
      <c r="P36" s="57"/>
      <c r="Q36" s="4" t="s">
        <v>18</v>
      </c>
      <c r="R36" s="56" t="str">
        <f>Source!B80</f>
        <v>Paddle Type</v>
      </c>
      <c r="S36" s="60"/>
      <c r="T36" s="60"/>
      <c r="U36" s="60"/>
      <c r="V36" s="60"/>
      <c r="W36" s="5"/>
      <c r="X36" s="4"/>
    </row>
    <row r="37" spans="1:24" ht="5" customHeight="1">
      <c r="A37" s="2"/>
      <c r="B37" s="2"/>
      <c r="C37" s="4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213</v>
      </c>
      <c r="S37" s="4"/>
      <c r="T37" s="4"/>
      <c r="U37" s="4"/>
      <c r="V37" s="4"/>
      <c r="W37" s="4"/>
      <c r="X37" s="4"/>
    </row>
    <row r="38" spans="1:24" ht="18" customHeight="1">
      <c r="A38" s="2" t="s">
        <v>75</v>
      </c>
      <c r="B38" s="1" t="s">
        <v>18</v>
      </c>
      <c r="C38" s="56" t="str">
        <f>Source!B79</f>
        <v>Wall Mounted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7" t="s">
        <v>19</v>
      </c>
      <c r="P38" s="57"/>
      <c r="Q38" s="4" t="s">
        <v>18</v>
      </c>
      <c r="R38" s="56" t="str">
        <f>Source!B81</f>
        <v>Belt</v>
      </c>
      <c r="S38" s="60"/>
      <c r="T38" s="60"/>
      <c r="U38" s="60"/>
      <c r="V38" s="60"/>
      <c r="W38" s="5"/>
      <c r="X38" s="4"/>
    </row>
    <row r="39" spans="1:24" ht="5" customHeight="1">
      <c r="A39" s="2"/>
      <c r="B39" s="2"/>
      <c r="C39" s="4" t="s">
        <v>20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213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18</v>
      </c>
      <c r="C40" s="71" t="str">
        <f>Source!B82</f>
        <v>25015 cfm @ 0.36" w.g.</v>
      </c>
      <c r="D40" s="71"/>
      <c r="E40" s="71"/>
      <c r="F40" s="71"/>
      <c r="G40" s="71"/>
      <c r="H40" s="71"/>
      <c r="I40" s="71"/>
      <c r="J40" s="4"/>
      <c r="K40" s="72" t="str">
        <f>Source!B83</f>
        <v>28782 cfm @ 0" w.g.</v>
      </c>
      <c r="L40" s="71"/>
      <c r="M40" s="71"/>
      <c r="N40" s="71"/>
      <c r="O40" s="71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214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18</v>
      </c>
      <c r="C42" s="71">
        <f>Source!B84</f>
        <v>811</v>
      </c>
      <c r="D42" s="57"/>
      <c r="E42" s="57"/>
      <c r="F42" s="4" t="s">
        <v>45</v>
      </c>
      <c r="G42" s="4"/>
      <c r="H42" s="4"/>
      <c r="I42" s="73">
        <f>ROUNDUP(Source!D76, 0)</f>
        <v>815</v>
      </c>
      <c r="J42" s="57"/>
      <c r="K42" s="9" t="s">
        <v>45</v>
      </c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214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18</v>
      </c>
      <c r="C44" s="42">
        <f>Source!D87</f>
        <v>5</v>
      </c>
      <c r="D44" s="3" t="s">
        <v>55</v>
      </c>
      <c r="E44" s="3">
        <f>Source!D88</f>
        <v>3</v>
      </c>
      <c r="F44" s="3" t="s">
        <v>56</v>
      </c>
      <c r="G44" s="56">
        <f>Source!B90</f>
        <v>220</v>
      </c>
      <c r="H44" s="56"/>
      <c r="I44" s="3" t="s">
        <v>57</v>
      </c>
      <c r="J44" s="3">
        <f>Source!B91</f>
        <v>60</v>
      </c>
      <c r="K44" s="3" t="s">
        <v>58</v>
      </c>
      <c r="L44" s="3">
        <f>Source!D90</f>
        <v>4</v>
      </c>
      <c r="M44" s="3" t="s">
        <v>59</v>
      </c>
      <c r="N44" s="3">
        <f>Source!D89</f>
        <v>1745</v>
      </c>
      <c r="O44" s="3" t="s">
        <v>60</v>
      </c>
      <c r="P44" s="56" t="str">
        <f>Source!B92</f>
        <v>Foot Mounted</v>
      </c>
      <c r="Q44" s="56"/>
      <c r="R44" s="56"/>
      <c r="S44" s="56"/>
      <c r="T44" s="4" t="s">
        <v>63</v>
      </c>
      <c r="U44" s="3" t="str">
        <f>Source!B87</f>
        <v>TECO</v>
      </c>
      <c r="V44" s="3" t="str">
        <f>Source!B93</f>
        <v>TEFC</v>
      </c>
    </row>
    <row r="45" spans="1:24" ht="5" customHeight="1">
      <c r="A45" s="2"/>
      <c r="B45" s="2"/>
      <c r="C45" s="4" t="s">
        <v>214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18</v>
      </c>
      <c r="C46" s="61">
        <f>Source!B96</f>
        <v>3.5</v>
      </c>
      <c r="D46" s="62"/>
      <c r="E46" s="56" t="s">
        <v>66</v>
      </c>
      <c r="F46" s="56"/>
      <c r="G46" s="56" t="str">
        <f>Source!D93</f>
        <v>2B</v>
      </c>
      <c r="H46" s="60"/>
      <c r="I46" s="3" t="s">
        <v>64</v>
      </c>
      <c r="J46" s="3">
        <f>Source!D91</f>
        <v>28</v>
      </c>
      <c r="K46" s="56" t="s">
        <v>67</v>
      </c>
      <c r="L46" s="56"/>
      <c r="M46" s="56"/>
      <c r="N46" s="3" t="s">
        <v>64</v>
      </c>
      <c r="O46" s="3">
        <f>Source!D92</f>
        <v>8</v>
      </c>
      <c r="P46" s="56" t="s">
        <v>65</v>
      </c>
      <c r="Q46" s="56"/>
      <c r="R46" s="56"/>
      <c r="S46" s="4"/>
      <c r="T46" s="4"/>
      <c r="U46" s="16">
        <f>Source!D94</f>
        <v>64</v>
      </c>
      <c r="V46" s="15" t="s">
        <v>181</v>
      </c>
      <c r="X46" s="4"/>
    </row>
    <row r="47" spans="1:24" ht="5" customHeight="1">
      <c r="A47" s="2"/>
      <c r="B47" s="2"/>
      <c r="C47" s="4" t="s">
        <v>214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18</v>
      </c>
      <c r="C48" s="61">
        <f>Source!B97</f>
        <v>7.5</v>
      </c>
      <c r="D48" s="61"/>
      <c r="E48" s="56" t="s">
        <v>66</v>
      </c>
      <c r="F48" s="56"/>
      <c r="G48" s="56" t="str">
        <f>Source!D93</f>
        <v>2B</v>
      </c>
      <c r="H48" s="60"/>
      <c r="I48" s="3" t="s">
        <v>64</v>
      </c>
      <c r="J48" s="58" t="str">
        <f>Source!D80</f>
        <v>1 1/2”Ø bore x 3/8" keyway</v>
      </c>
      <c r="K48" s="59"/>
      <c r="L48" s="59"/>
      <c r="M48" s="59"/>
      <c r="N48" s="59"/>
      <c r="O48" s="59"/>
      <c r="P48" s="59"/>
      <c r="Q48" s="59"/>
      <c r="R48" s="59"/>
      <c r="S48" s="4"/>
      <c r="T48" s="4"/>
      <c r="U48" s="21">
        <f>Source!D95</f>
        <v>75</v>
      </c>
      <c r="V48" s="15" t="s">
        <v>181</v>
      </c>
      <c r="W48" s="14"/>
      <c r="X48" s="4"/>
    </row>
    <row r="49" spans="1:24" ht="5" customHeight="1">
      <c r="A49" s="2"/>
      <c r="B49" s="2"/>
      <c r="C49" s="4" t="s">
        <v>214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18</v>
      </c>
      <c r="C50" s="56" t="str">
        <f>Source!D79</f>
        <v>3”Ø x 3”L x 1 1/2”Ø bore x 3/8” keyway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214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18</v>
      </c>
      <c r="D52" s="70" t="str">
        <f>Source!D80</f>
        <v>1 1/2”Ø bore x 3/8" keyway</v>
      </c>
      <c r="E52" s="59"/>
      <c r="F52" s="59"/>
      <c r="G52" s="59"/>
      <c r="H52" s="59"/>
      <c r="I52" s="59"/>
      <c r="J52" s="59"/>
      <c r="K52" s="59"/>
      <c r="L52" s="59"/>
      <c r="M52" s="5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214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18</v>
      </c>
      <c r="C54" s="57"/>
      <c r="D54" s="69"/>
      <c r="E54" s="69"/>
      <c r="F54" s="69"/>
      <c r="G54" s="69"/>
      <c r="H54" s="69"/>
      <c r="I54" s="6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214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18</v>
      </c>
      <c r="C56" s="56" t="str">
        <f>Source!D78</f>
        <v>UCP208</v>
      </c>
      <c r="D56" s="56"/>
      <c r="E56" s="56"/>
      <c r="F56" s="56"/>
      <c r="G56" s="4"/>
      <c r="H56" s="4"/>
      <c r="I56" s="4"/>
      <c r="J56" s="10" t="s">
        <v>49</v>
      </c>
      <c r="K56" s="9">
        <f>SUM(Source!B70)*2</f>
        <v>20</v>
      </c>
      <c r="L56" s="9" t="s">
        <v>48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214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63" t="s">
        <v>210</v>
      </c>
      <c r="T58" s="60"/>
      <c r="U58" s="60"/>
      <c r="V58" s="60"/>
      <c r="W58" s="60"/>
    </row>
    <row r="59" spans="1:24">
      <c r="W59" s="24"/>
    </row>
  </sheetData>
  <sheetProtection sheet="1" objects="1" scenarios="1" selectLockedCells="1" selectUnlockedCells="1"/>
  <mergeCells count="35">
    <mergeCell ref="S58:W58"/>
    <mergeCell ref="D13:K13"/>
    <mergeCell ref="S13:V13"/>
    <mergeCell ref="H15:I15"/>
    <mergeCell ref="C17:G17"/>
    <mergeCell ref="C56:F56"/>
    <mergeCell ref="C54:I54"/>
    <mergeCell ref="D52:M52"/>
    <mergeCell ref="C50:P50"/>
    <mergeCell ref="O38:P38"/>
    <mergeCell ref="P44:S44"/>
    <mergeCell ref="C40:I40"/>
    <mergeCell ref="K40:O40"/>
    <mergeCell ref="C42:E42"/>
    <mergeCell ref="I42:J42"/>
    <mergeCell ref="C48:D48"/>
    <mergeCell ref="E48:F48"/>
    <mergeCell ref="O36:P36"/>
    <mergeCell ref="C36:N36"/>
    <mergeCell ref="C38:N38"/>
    <mergeCell ref="J48:R48"/>
    <mergeCell ref="G48:H48"/>
    <mergeCell ref="R36:V36"/>
    <mergeCell ref="R38:V38"/>
    <mergeCell ref="E46:F46"/>
    <mergeCell ref="K46:M46"/>
    <mergeCell ref="P46:R46"/>
    <mergeCell ref="G44:H44"/>
    <mergeCell ref="C46:D46"/>
    <mergeCell ref="G46:H46"/>
    <mergeCell ref="A12:W12"/>
    <mergeCell ref="F20:G20"/>
    <mergeCell ref="H20:I20"/>
    <mergeCell ref="L20:M20"/>
    <mergeCell ref="J15:K15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zoomScale="140" zoomScaleNormal="140" workbookViewId="0">
      <selection activeCell="B69" sqref="B69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 hidden="1">
      <c r="A2" s="74" t="s">
        <v>194</v>
      </c>
      <c r="B2" s="75"/>
      <c r="C2" s="75"/>
      <c r="D2" s="75"/>
      <c r="E2" s="75"/>
      <c r="H2" s="5" t="s">
        <v>81</v>
      </c>
      <c r="I2" s="5" t="s">
        <v>53</v>
      </c>
      <c r="J2" s="5" t="s">
        <v>54</v>
      </c>
      <c r="K2" s="5" t="s">
        <v>140</v>
      </c>
      <c r="L2" s="5" t="s">
        <v>139</v>
      </c>
      <c r="M2" s="5" t="s">
        <v>141</v>
      </c>
      <c r="O2" s="3" t="s">
        <v>86</v>
      </c>
      <c r="P2" s="3" t="s">
        <v>84</v>
      </c>
      <c r="Q2" s="3" t="s">
        <v>36</v>
      </c>
      <c r="R2" s="3" t="s">
        <v>37</v>
      </c>
      <c r="S2" s="3" t="s">
        <v>38</v>
      </c>
      <c r="T2" s="3" t="s">
        <v>142</v>
      </c>
      <c r="U2" s="3" t="s">
        <v>143</v>
      </c>
      <c r="V2" s="3" t="s">
        <v>74</v>
      </c>
      <c r="W2" s="3" t="s">
        <v>149</v>
      </c>
    </row>
    <row r="3" spans="1:23" hidden="1">
      <c r="A3" s="3" t="s">
        <v>24</v>
      </c>
      <c r="B3" s="3" t="s">
        <v>27</v>
      </c>
      <c r="C3" s="3" t="s">
        <v>28</v>
      </c>
      <c r="D3" s="3" t="s">
        <v>8</v>
      </c>
      <c r="E3" s="3" t="s">
        <v>10</v>
      </c>
      <c r="F3" s="3" t="s">
        <v>159</v>
      </c>
      <c r="H3" s="3" t="s">
        <v>53</v>
      </c>
      <c r="I3" s="5" t="s">
        <v>140</v>
      </c>
      <c r="J3" s="5" t="s">
        <v>141</v>
      </c>
      <c r="K3" s="17" t="s">
        <v>88</v>
      </c>
      <c r="L3" s="17" t="s">
        <v>96</v>
      </c>
      <c r="M3" s="17" t="s">
        <v>119</v>
      </c>
      <c r="P3" s="17" t="s">
        <v>88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150</v>
      </c>
    </row>
    <row r="4" spans="1:23" hidden="1">
      <c r="A4" s="3">
        <v>10</v>
      </c>
      <c r="B4" s="3" t="s">
        <v>68</v>
      </c>
      <c r="C4" s="4" t="s">
        <v>39</v>
      </c>
      <c r="D4" s="4" t="s">
        <v>29</v>
      </c>
      <c r="E4" s="3" t="s">
        <v>13</v>
      </c>
      <c r="F4" s="5">
        <v>1</v>
      </c>
      <c r="H4" s="3" t="s">
        <v>54</v>
      </c>
      <c r="I4" s="5" t="s">
        <v>139</v>
      </c>
      <c r="J4" s="3"/>
      <c r="K4" s="18" t="s">
        <v>89</v>
      </c>
      <c r="L4" s="18" t="s">
        <v>97</v>
      </c>
      <c r="M4" s="18" t="s">
        <v>120</v>
      </c>
      <c r="P4" s="18" t="s">
        <v>89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150</v>
      </c>
    </row>
    <row r="5" spans="1:23" hidden="1">
      <c r="A5" s="3">
        <v>12</v>
      </c>
      <c r="B5" s="3" t="s">
        <v>68</v>
      </c>
      <c r="C5" s="4" t="s">
        <v>39</v>
      </c>
      <c r="D5" s="4" t="s">
        <v>29</v>
      </c>
      <c r="E5" s="3" t="s">
        <v>13</v>
      </c>
      <c r="F5" s="5">
        <v>1</v>
      </c>
      <c r="H5" s="3"/>
      <c r="I5" s="3"/>
      <c r="J5" s="3"/>
      <c r="K5" s="18" t="s">
        <v>90</v>
      </c>
      <c r="L5" s="18" t="s">
        <v>98</v>
      </c>
      <c r="M5" s="18" t="s">
        <v>121</v>
      </c>
      <c r="P5" s="18" t="s">
        <v>90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150</v>
      </c>
    </row>
    <row r="6" spans="1:23" hidden="1">
      <c r="A6" s="3">
        <v>14</v>
      </c>
      <c r="B6" s="3" t="s">
        <v>68</v>
      </c>
      <c r="C6" s="4" t="s">
        <v>39</v>
      </c>
      <c r="D6" s="4" t="s">
        <v>29</v>
      </c>
      <c r="E6" s="3" t="s">
        <v>13</v>
      </c>
      <c r="F6" s="5">
        <v>1</v>
      </c>
      <c r="H6" s="3"/>
      <c r="I6" s="3"/>
      <c r="J6" s="3"/>
      <c r="K6" s="18" t="s">
        <v>91</v>
      </c>
      <c r="L6" s="18" t="s">
        <v>99</v>
      </c>
      <c r="M6" s="18" t="s">
        <v>122</v>
      </c>
      <c r="P6" s="18" t="s">
        <v>91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218</v>
      </c>
    </row>
    <row r="7" spans="1:23" hidden="1">
      <c r="A7" s="3">
        <v>16</v>
      </c>
      <c r="B7" s="7" t="s">
        <v>69</v>
      </c>
      <c r="C7" s="8" t="s">
        <v>72</v>
      </c>
      <c r="D7" s="4" t="s">
        <v>30</v>
      </c>
      <c r="E7" s="3" t="s">
        <v>14</v>
      </c>
      <c r="F7" s="43">
        <v>1.25</v>
      </c>
      <c r="H7" s="3"/>
      <c r="I7" s="3"/>
      <c r="J7" s="3"/>
      <c r="K7" s="18" t="s">
        <v>92</v>
      </c>
      <c r="L7" s="18" t="s">
        <v>100</v>
      </c>
      <c r="M7" s="18" t="s">
        <v>123</v>
      </c>
      <c r="P7" s="18" t="s">
        <v>92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151</v>
      </c>
    </row>
    <row r="8" spans="1:23" hidden="1">
      <c r="A8" s="3">
        <v>18</v>
      </c>
      <c r="B8" s="7" t="s">
        <v>69</v>
      </c>
      <c r="C8" s="8" t="s">
        <v>72</v>
      </c>
      <c r="D8" s="4" t="s">
        <v>30</v>
      </c>
      <c r="E8" s="3" t="s">
        <v>14</v>
      </c>
      <c r="F8" s="43">
        <v>1.25</v>
      </c>
      <c r="H8" s="3"/>
      <c r="I8" s="3"/>
      <c r="J8" s="3"/>
      <c r="K8" s="18" t="s">
        <v>93</v>
      </c>
      <c r="L8" s="18" t="s">
        <v>101</v>
      </c>
      <c r="M8" s="18" t="s">
        <v>124</v>
      </c>
      <c r="P8" s="18" t="s">
        <v>93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151</v>
      </c>
    </row>
    <row r="9" spans="1:23" hidden="1">
      <c r="A9" s="3">
        <v>20</v>
      </c>
      <c r="B9" s="7" t="s">
        <v>69</v>
      </c>
      <c r="C9" s="8" t="s">
        <v>72</v>
      </c>
      <c r="D9" s="4" t="s">
        <v>30</v>
      </c>
      <c r="E9" s="3" t="s">
        <v>14</v>
      </c>
      <c r="F9" s="43">
        <v>1.25</v>
      </c>
      <c r="H9" s="3"/>
      <c r="I9" s="3"/>
      <c r="J9" s="3"/>
      <c r="K9" s="18" t="s">
        <v>94</v>
      </c>
      <c r="L9" s="18" t="s">
        <v>102</v>
      </c>
      <c r="M9" s="18" t="s">
        <v>125</v>
      </c>
      <c r="P9" s="18" t="s">
        <v>94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151</v>
      </c>
    </row>
    <row r="10" spans="1:23" hidden="1">
      <c r="A10" s="3">
        <v>24</v>
      </c>
      <c r="B10" s="7" t="s">
        <v>69</v>
      </c>
      <c r="C10" s="8" t="s">
        <v>72</v>
      </c>
      <c r="D10" s="4" t="s">
        <v>30</v>
      </c>
      <c r="E10" s="3" t="s">
        <v>14</v>
      </c>
      <c r="F10" s="43">
        <v>1.25</v>
      </c>
      <c r="H10" s="3"/>
      <c r="I10" s="3"/>
      <c r="J10" s="3"/>
      <c r="K10" s="18" t="s">
        <v>95</v>
      </c>
      <c r="L10" s="18" t="s">
        <v>103</v>
      </c>
      <c r="M10" s="18" t="s">
        <v>126</v>
      </c>
      <c r="P10" s="18" t="s">
        <v>95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151</v>
      </c>
    </row>
    <row r="11" spans="1:23" hidden="1">
      <c r="A11" s="3">
        <v>30</v>
      </c>
      <c r="B11" s="7" t="s">
        <v>69</v>
      </c>
      <c r="C11" s="8" t="s">
        <v>72</v>
      </c>
      <c r="D11" s="4" t="s">
        <v>30</v>
      </c>
      <c r="E11" s="3" t="s">
        <v>14</v>
      </c>
      <c r="F11" s="43">
        <v>1.25</v>
      </c>
      <c r="H11" s="3"/>
      <c r="I11" s="3"/>
      <c r="J11" s="3"/>
      <c r="K11" s="3"/>
      <c r="L11" s="18" t="s">
        <v>104</v>
      </c>
      <c r="M11" s="18" t="s">
        <v>127</v>
      </c>
      <c r="O11" s="3" t="s">
        <v>85</v>
      </c>
      <c r="P11" s="17" t="s">
        <v>96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150</v>
      </c>
    </row>
    <row r="12" spans="1:23" hidden="1">
      <c r="A12" s="3">
        <v>36</v>
      </c>
      <c r="B12" s="7" t="s">
        <v>70</v>
      </c>
      <c r="C12" s="4" t="s">
        <v>34</v>
      </c>
      <c r="D12" s="4" t="s">
        <v>31</v>
      </c>
      <c r="E12" s="3" t="s">
        <v>15</v>
      </c>
      <c r="F12" s="43">
        <v>1.5</v>
      </c>
      <c r="H12" s="3"/>
      <c r="I12" s="3"/>
      <c r="J12" s="3"/>
      <c r="K12" s="3"/>
      <c r="L12" s="18" t="s">
        <v>105</v>
      </c>
      <c r="M12" s="18" t="s">
        <v>128</v>
      </c>
      <c r="P12" s="18" t="s">
        <v>97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218</v>
      </c>
    </row>
    <row r="13" spans="1:23" hidden="1">
      <c r="A13" s="3">
        <v>42</v>
      </c>
      <c r="B13" s="7" t="s">
        <v>70</v>
      </c>
      <c r="C13" s="4" t="s">
        <v>34</v>
      </c>
      <c r="D13" s="4" t="s">
        <v>31</v>
      </c>
      <c r="E13" s="3" t="s">
        <v>15</v>
      </c>
      <c r="F13" s="43">
        <v>1.5</v>
      </c>
      <c r="H13" s="3"/>
      <c r="I13" s="3"/>
      <c r="J13" s="3"/>
      <c r="K13" s="3"/>
      <c r="L13" s="18" t="s">
        <v>106</v>
      </c>
      <c r="M13" s="18" t="s">
        <v>129</v>
      </c>
      <c r="P13" s="18" t="s">
        <v>98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151</v>
      </c>
    </row>
    <row r="14" spans="1:23" hidden="1">
      <c r="A14" s="3">
        <v>48</v>
      </c>
      <c r="B14" s="7" t="s">
        <v>71</v>
      </c>
      <c r="C14" s="4" t="s">
        <v>182</v>
      </c>
      <c r="D14" s="4" t="s">
        <v>32</v>
      </c>
      <c r="E14" s="3" t="s">
        <v>16</v>
      </c>
      <c r="F14" s="43">
        <v>1.75</v>
      </c>
      <c r="H14" s="3"/>
      <c r="I14" s="3"/>
      <c r="J14" s="3"/>
      <c r="K14" s="3"/>
      <c r="L14" s="18" t="s">
        <v>107</v>
      </c>
      <c r="M14" s="18" t="s">
        <v>130</v>
      </c>
      <c r="P14" s="18" t="s">
        <v>99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151</v>
      </c>
    </row>
    <row r="15" spans="1:23" hidden="1">
      <c r="A15" s="3">
        <v>54</v>
      </c>
      <c r="B15" s="7" t="s">
        <v>71</v>
      </c>
      <c r="C15" s="4" t="s">
        <v>182</v>
      </c>
      <c r="D15" s="4" t="s">
        <v>32</v>
      </c>
      <c r="E15" s="3" t="s">
        <v>16</v>
      </c>
      <c r="F15" s="43">
        <v>1.75</v>
      </c>
      <c r="H15" s="3"/>
      <c r="I15" s="3"/>
      <c r="J15" s="3"/>
      <c r="K15" s="3"/>
      <c r="L15" s="18" t="s">
        <v>108</v>
      </c>
      <c r="M15" s="18" t="s">
        <v>131</v>
      </c>
      <c r="P15" s="18" t="s">
        <v>100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151</v>
      </c>
    </row>
    <row r="16" spans="1:23" hidden="1">
      <c r="A16" s="3">
        <v>60</v>
      </c>
      <c r="B16" s="7" t="s">
        <v>215</v>
      </c>
      <c r="C16" s="4" t="s">
        <v>78</v>
      </c>
      <c r="D16" s="4" t="s">
        <v>33</v>
      </c>
      <c r="E16" s="3" t="s">
        <v>216</v>
      </c>
      <c r="F16" s="43">
        <v>2</v>
      </c>
      <c r="H16" s="3"/>
      <c r="I16" s="3"/>
      <c r="J16" s="3"/>
      <c r="K16" s="3"/>
      <c r="L16" s="18" t="s">
        <v>109</v>
      </c>
      <c r="M16" s="18" t="s">
        <v>132</v>
      </c>
      <c r="P16" s="18" t="s">
        <v>101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151</v>
      </c>
    </row>
    <row r="17" spans="1:23" hidden="1">
      <c r="B17" s="7"/>
      <c r="E17" s="3"/>
      <c r="F17" s="20"/>
      <c r="H17" s="3"/>
      <c r="I17" s="3"/>
      <c r="J17" s="3"/>
      <c r="K17" s="3"/>
      <c r="L17" s="18" t="s">
        <v>110</v>
      </c>
      <c r="M17" s="18" t="s">
        <v>133</v>
      </c>
      <c r="P17" s="18" t="s">
        <v>102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151</v>
      </c>
    </row>
    <row r="18" spans="1:23" hidden="1">
      <c r="B18" s="7"/>
      <c r="E18" s="3"/>
      <c r="F18" s="20"/>
      <c r="H18" s="3"/>
      <c r="I18" s="3"/>
      <c r="J18" s="3"/>
      <c r="K18" s="3"/>
      <c r="L18" s="18" t="s">
        <v>111</v>
      </c>
      <c r="M18" s="18" t="s">
        <v>134</v>
      </c>
      <c r="P18" s="18" t="s">
        <v>103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152</v>
      </c>
    </row>
    <row r="19" spans="1:23" hidden="1">
      <c r="B19" s="7"/>
      <c r="E19" s="3"/>
      <c r="F19" s="20"/>
      <c r="H19" s="3"/>
      <c r="I19" s="3"/>
      <c r="J19" s="3"/>
      <c r="K19" s="3"/>
      <c r="L19" s="18" t="s">
        <v>112</v>
      </c>
      <c r="M19" s="18" t="s">
        <v>135</v>
      </c>
      <c r="P19" s="18" t="s">
        <v>104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152</v>
      </c>
    </row>
    <row r="20" spans="1:23" hidden="1">
      <c r="B20" s="7"/>
      <c r="E20" s="3"/>
      <c r="F20" s="20"/>
      <c r="H20" s="3"/>
      <c r="I20" s="3"/>
      <c r="J20" s="3"/>
      <c r="K20" s="3"/>
      <c r="L20" s="18" t="s">
        <v>113</v>
      </c>
      <c r="M20" s="18" t="s">
        <v>136</v>
      </c>
      <c r="P20" s="18" t="s">
        <v>105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153</v>
      </c>
    </row>
    <row r="21" spans="1:23" hidden="1">
      <c r="B21" s="7"/>
      <c r="E21" s="3"/>
      <c r="F21" s="20"/>
      <c r="H21" s="3"/>
      <c r="I21" s="3"/>
      <c r="J21" s="3"/>
      <c r="K21" s="3"/>
      <c r="L21" s="18" t="s">
        <v>114</v>
      </c>
      <c r="M21" s="18" t="s">
        <v>137</v>
      </c>
      <c r="P21" s="18" t="s">
        <v>106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153</v>
      </c>
    </row>
    <row r="22" spans="1:23" hidden="1">
      <c r="B22" s="7"/>
      <c r="E22" s="3"/>
      <c r="F22" s="20"/>
      <c r="H22" s="3"/>
      <c r="I22" s="3"/>
      <c r="J22" s="3"/>
      <c r="K22" s="3"/>
      <c r="L22" s="18" t="s">
        <v>115</v>
      </c>
      <c r="M22" s="18" t="s">
        <v>183</v>
      </c>
      <c r="P22" s="18" t="s">
        <v>107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154</v>
      </c>
    </row>
    <row r="23" spans="1:23" hidden="1">
      <c r="B23" s="7"/>
      <c r="E23" s="3"/>
      <c r="F23" s="20"/>
      <c r="H23" s="3"/>
      <c r="I23" s="3"/>
      <c r="J23" s="3"/>
      <c r="K23" s="3"/>
      <c r="L23" s="18" t="s">
        <v>116</v>
      </c>
      <c r="M23" s="18" t="s">
        <v>138</v>
      </c>
      <c r="P23" s="18" t="s">
        <v>108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155</v>
      </c>
    </row>
    <row r="24" spans="1:23" hidden="1">
      <c r="B24" s="7"/>
      <c r="E24" s="3"/>
      <c r="F24" s="20"/>
      <c r="H24" s="3"/>
      <c r="I24" s="3"/>
      <c r="J24" s="3"/>
      <c r="K24" s="3"/>
      <c r="L24" s="18" t="s">
        <v>117</v>
      </c>
      <c r="M24" s="18" t="s">
        <v>184</v>
      </c>
      <c r="P24" s="18" t="s">
        <v>109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156</v>
      </c>
    </row>
    <row r="25" spans="1:23" hidden="1">
      <c r="B25" s="7"/>
      <c r="E25" s="3"/>
      <c r="F25" s="20"/>
      <c r="H25" s="3"/>
      <c r="I25" s="3"/>
      <c r="J25" s="3"/>
      <c r="K25" s="3"/>
      <c r="L25" s="18" t="s">
        <v>118</v>
      </c>
      <c r="M25" s="18" t="s">
        <v>185</v>
      </c>
      <c r="P25" s="18" t="s">
        <v>110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156</v>
      </c>
    </row>
    <row r="26" spans="1:23" hidden="1">
      <c r="H26" s="3"/>
      <c r="I26" s="3"/>
      <c r="J26" s="3"/>
      <c r="K26" s="3"/>
      <c r="L26" s="3"/>
      <c r="M26" s="18"/>
      <c r="P26" s="18" t="s">
        <v>111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156</v>
      </c>
    </row>
    <row r="27" spans="1:23" hidden="1">
      <c r="F27" t="s">
        <v>53</v>
      </c>
      <c r="H27" s="3"/>
      <c r="I27" s="3"/>
      <c r="J27" s="3"/>
      <c r="K27" s="3"/>
      <c r="L27" s="3"/>
      <c r="M27" s="3"/>
      <c r="P27" s="18" t="s">
        <v>112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156</v>
      </c>
    </row>
    <row r="28" spans="1:23" hidden="1">
      <c r="A28" s="6" t="s">
        <v>195</v>
      </c>
      <c r="B28" s="3" t="s">
        <v>188</v>
      </c>
      <c r="F28" t="s">
        <v>82</v>
      </c>
      <c r="H28" s="3"/>
      <c r="I28" s="3"/>
      <c r="J28" s="3"/>
      <c r="K28" s="3"/>
      <c r="L28" s="3"/>
      <c r="M28" s="3"/>
      <c r="P28" s="18" t="s">
        <v>113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156</v>
      </c>
    </row>
    <row r="29" spans="1:23" hidden="1">
      <c r="A29" s="3" t="s">
        <v>196</v>
      </c>
      <c r="B29" s="3" t="s">
        <v>193</v>
      </c>
      <c r="F29">
        <v>1</v>
      </c>
      <c r="H29" s="3"/>
      <c r="I29" s="3"/>
      <c r="J29" s="3"/>
      <c r="K29" s="3"/>
      <c r="L29" s="3"/>
      <c r="M29" s="3"/>
      <c r="P29" s="18" t="s">
        <v>114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156</v>
      </c>
    </row>
    <row r="30" spans="1:23" hidden="1">
      <c r="A30" s="3" t="s">
        <v>197</v>
      </c>
      <c r="B30" s="3" t="s">
        <v>189</v>
      </c>
      <c r="H30" s="3"/>
      <c r="I30" s="3"/>
      <c r="J30" s="3"/>
      <c r="K30" s="3"/>
      <c r="L30" s="3"/>
      <c r="M30" s="3"/>
      <c r="P30" s="18" t="s">
        <v>115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156</v>
      </c>
    </row>
    <row r="31" spans="1:23" hidden="1">
      <c r="A31" s="3" t="s">
        <v>198</v>
      </c>
      <c r="B31" s="3" t="s">
        <v>190</v>
      </c>
      <c r="H31" s="3"/>
      <c r="I31" s="3"/>
      <c r="J31" s="3"/>
      <c r="K31" s="3"/>
      <c r="L31" s="3"/>
      <c r="M31" s="3"/>
      <c r="P31" s="18" t="s">
        <v>116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156</v>
      </c>
    </row>
    <row r="32" spans="1:23" hidden="1">
      <c r="H32" s="3"/>
      <c r="I32" s="3"/>
      <c r="J32" s="3"/>
      <c r="K32" s="3"/>
      <c r="L32" s="3"/>
      <c r="M32" s="3"/>
      <c r="P32" s="18" t="s">
        <v>117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156</v>
      </c>
    </row>
    <row r="33" spans="1:23" hidden="1">
      <c r="H33" s="3"/>
      <c r="I33" s="3"/>
      <c r="J33" s="3"/>
      <c r="K33" s="3"/>
      <c r="L33" s="3"/>
      <c r="M33" s="3"/>
      <c r="P33" s="18" t="s">
        <v>118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156</v>
      </c>
    </row>
    <row r="34" spans="1:23" hidden="1">
      <c r="A34" s="6" t="s">
        <v>19</v>
      </c>
      <c r="H34" s="3"/>
      <c r="I34" s="3"/>
      <c r="J34" s="3"/>
      <c r="K34" s="3"/>
      <c r="L34" s="3"/>
      <c r="M34" s="3"/>
      <c r="O34" s="3" t="s">
        <v>87</v>
      </c>
      <c r="P34" s="17" t="s">
        <v>119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150</v>
      </c>
    </row>
    <row r="35" spans="1:23" hidden="1">
      <c r="A35" s="3" t="s">
        <v>22</v>
      </c>
      <c r="H35" s="3"/>
      <c r="I35" s="3"/>
      <c r="J35" s="3"/>
      <c r="K35" s="3"/>
      <c r="L35" s="3"/>
      <c r="M35" s="3"/>
      <c r="P35" s="18" t="s">
        <v>120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218</v>
      </c>
    </row>
    <row r="36" spans="1:23" hidden="1">
      <c r="A36" s="3" t="s">
        <v>9</v>
      </c>
      <c r="H36" s="3"/>
      <c r="I36" s="3"/>
      <c r="J36" s="3"/>
      <c r="K36" s="3"/>
      <c r="L36" s="3"/>
      <c r="M36" s="3"/>
      <c r="P36" s="18" t="s">
        <v>121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151</v>
      </c>
    </row>
    <row r="37" spans="1:23" hidden="1">
      <c r="A37" s="3" t="s">
        <v>35</v>
      </c>
      <c r="H37" s="11"/>
      <c r="I37" s="11"/>
      <c r="J37" s="11"/>
      <c r="K37" s="11"/>
      <c r="L37" s="11"/>
      <c r="M37" s="11"/>
      <c r="P37" s="18" t="s">
        <v>122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151</v>
      </c>
    </row>
    <row r="38" spans="1:23" hidden="1">
      <c r="H38" s="3"/>
      <c r="I38" s="3"/>
      <c r="J38" s="3"/>
      <c r="K38" s="3"/>
      <c r="L38" s="3"/>
      <c r="M38" s="3"/>
      <c r="P38" s="18" t="s">
        <v>123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151</v>
      </c>
    </row>
    <row r="39" spans="1:23" hidden="1">
      <c r="H39" s="3"/>
      <c r="I39" s="3"/>
      <c r="J39" s="3"/>
      <c r="K39" s="3"/>
      <c r="L39" s="3"/>
      <c r="M39" s="3"/>
      <c r="P39" s="18" t="s">
        <v>124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151</v>
      </c>
    </row>
    <row r="40" spans="1:23" hidden="1">
      <c r="A40" s="6" t="s">
        <v>26</v>
      </c>
      <c r="B40" s="6" t="s">
        <v>43</v>
      </c>
      <c r="C40" s="6" t="s">
        <v>73</v>
      </c>
      <c r="D40" s="6" t="s">
        <v>74</v>
      </c>
      <c r="E40" s="6" t="s">
        <v>75</v>
      </c>
      <c r="F40" s="6" t="s">
        <v>76</v>
      </c>
      <c r="H40" s="3"/>
      <c r="I40" s="3"/>
      <c r="J40" s="3"/>
      <c r="K40" s="3"/>
      <c r="L40" s="3"/>
      <c r="M40" s="3"/>
      <c r="P40" s="18" t="s">
        <v>125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151</v>
      </c>
    </row>
    <row r="41" spans="1:23" hidden="1">
      <c r="A41" s="3">
        <v>1</v>
      </c>
      <c r="B41" s="3">
        <v>220</v>
      </c>
      <c r="C41" s="3">
        <v>60</v>
      </c>
      <c r="D41" s="3">
        <v>2</v>
      </c>
      <c r="E41" s="4" t="s">
        <v>61</v>
      </c>
      <c r="F41" s="4" t="s">
        <v>62</v>
      </c>
      <c r="H41" s="3"/>
      <c r="I41" s="3"/>
      <c r="J41" s="3"/>
      <c r="K41" s="3"/>
      <c r="L41" s="3"/>
      <c r="M41" s="3"/>
      <c r="P41" s="18" t="s">
        <v>126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152</v>
      </c>
    </row>
    <row r="42" spans="1:23" hidden="1">
      <c r="A42" s="3">
        <v>3</v>
      </c>
      <c r="B42" s="3">
        <v>380</v>
      </c>
      <c r="C42" s="3">
        <v>50</v>
      </c>
      <c r="D42" s="3">
        <v>4</v>
      </c>
      <c r="E42" s="4" t="s">
        <v>217</v>
      </c>
      <c r="F42" s="4" t="s">
        <v>77</v>
      </c>
      <c r="H42" s="3"/>
      <c r="I42" s="3"/>
      <c r="J42" s="3"/>
      <c r="K42" s="3"/>
      <c r="L42" s="3"/>
      <c r="M42" s="3"/>
      <c r="P42" s="18" t="s">
        <v>127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152</v>
      </c>
    </row>
    <row r="43" spans="1:23" hidden="1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128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153</v>
      </c>
    </row>
    <row r="44" spans="1:23" hidden="1">
      <c r="D44" s="3">
        <v>8</v>
      </c>
      <c r="F44" s="4"/>
      <c r="H44" s="4"/>
      <c r="I44" s="4"/>
      <c r="J44" s="4"/>
      <c r="K44" s="4"/>
      <c r="L44" s="4"/>
      <c r="M44" s="4"/>
      <c r="P44" s="18" t="s">
        <v>129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153</v>
      </c>
    </row>
    <row r="45" spans="1:23" hidden="1">
      <c r="D45" s="3"/>
      <c r="F45" s="4"/>
      <c r="P45" s="18" t="s">
        <v>130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154</v>
      </c>
    </row>
    <row r="46" spans="1:23" hidden="1">
      <c r="A46" s="11"/>
      <c r="B46" s="13"/>
      <c r="C46" s="3"/>
      <c r="D46" s="3"/>
      <c r="E46" s="3"/>
      <c r="F46" s="4"/>
      <c r="P46" s="18" t="s">
        <v>131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155</v>
      </c>
    </row>
    <row r="47" spans="1:23" hidden="1">
      <c r="A47" s="12" t="s">
        <v>75</v>
      </c>
      <c r="B47" s="3" t="s">
        <v>205</v>
      </c>
      <c r="C47" s="4" t="s">
        <v>0</v>
      </c>
      <c r="P47" s="18" t="s">
        <v>132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156</v>
      </c>
    </row>
    <row r="48" spans="1:23" hidden="1">
      <c r="A48" s="11" t="s">
        <v>199</v>
      </c>
      <c r="B48" s="3" t="s">
        <v>200</v>
      </c>
      <c r="C48" s="4" t="s">
        <v>206</v>
      </c>
      <c r="P48" s="18" t="s">
        <v>133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156</v>
      </c>
    </row>
    <row r="49" spans="1:24" hidden="1">
      <c r="A49" s="3" t="s">
        <v>201</v>
      </c>
      <c r="B49" s="3" t="s">
        <v>202</v>
      </c>
      <c r="C49" s="4" t="s">
        <v>207</v>
      </c>
      <c r="P49" s="18" t="s">
        <v>134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156</v>
      </c>
    </row>
    <row r="50" spans="1:24" hidden="1">
      <c r="A50" s="3" t="s">
        <v>203</v>
      </c>
      <c r="C50" s="4" t="s">
        <v>208</v>
      </c>
      <c r="P50" s="18" t="s">
        <v>135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156</v>
      </c>
    </row>
    <row r="51" spans="1:24" hidden="1">
      <c r="A51" s="3" t="s">
        <v>204</v>
      </c>
      <c r="C51" s="4" t="s">
        <v>209</v>
      </c>
      <c r="P51" s="18" t="s">
        <v>136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156</v>
      </c>
    </row>
    <row r="52" spans="1:24" hidden="1">
      <c r="P52" s="18" t="s">
        <v>137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156</v>
      </c>
    </row>
    <row r="53" spans="1:24" hidden="1">
      <c r="P53" s="18" t="s">
        <v>183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156</v>
      </c>
    </row>
    <row r="54" spans="1:24" hidden="1">
      <c r="P54" s="18" t="s">
        <v>138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156</v>
      </c>
    </row>
    <row r="55" spans="1:24" hidden="1">
      <c r="P55" s="18" t="s">
        <v>184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156</v>
      </c>
    </row>
    <row r="56" spans="1:24" hidden="1">
      <c r="P56" s="18" t="s">
        <v>185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156</v>
      </c>
    </row>
    <row r="57" spans="1:24" hidden="1"/>
    <row r="58" spans="1:24" hidden="1"/>
    <row r="59" spans="1:24" hidden="1">
      <c r="A59" s="6" t="s">
        <v>2</v>
      </c>
    </row>
    <row r="60" spans="1:24" hidden="1">
      <c r="A60" s="3" t="s">
        <v>11</v>
      </c>
    </row>
    <row r="61" spans="1:24" hidden="1">
      <c r="A61" s="3" t="s">
        <v>12</v>
      </c>
    </row>
    <row r="62" spans="1:24" hidden="1">
      <c r="A62" s="3" t="s">
        <v>21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0" t="s">
        <v>176</v>
      </c>
      <c r="B64" s="81"/>
      <c r="C64" s="4" t="s">
        <v>186</v>
      </c>
    </row>
    <row r="65" spans="1:4">
      <c r="A65" s="45" t="s">
        <v>164</v>
      </c>
      <c r="B65" s="51">
        <v>46210</v>
      </c>
      <c r="C65" s="9" t="s">
        <v>187</v>
      </c>
    </row>
    <row r="66" spans="1:4">
      <c r="A66" s="27" t="s">
        <v>173</v>
      </c>
      <c r="B66" s="50" t="s">
        <v>219</v>
      </c>
    </row>
    <row r="67" spans="1:4">
      <c r="A67" s="27" t="s">
        <v>162</v>
      </c>
      <c r="B67" s="32" t="s">
        <v>200</v>
      </c>
    </row>
    <row r="68" spans="1:4">
      <c r="A68" s="27" t="s">
        <v>188</v>
      </c>
      <c r="B68" s="32" t="s">
        <v>193</v>
      </c>
    </row>
    <row r="69" spans="1:4">
      <c r="A69" s="27" t="s">
        <v>163</v>
      </c>
      <c r="B69" s="49">
        <v>46210</v>
      </c>
    </row>
    <row r="70" spans="1:4">
      <c r="A70" s="27" t="s">
        <v>46</v>
      </c>
      <c r="B70" s="32">
        <v>10</v>
      </c>
    </row>
    <row r="71" spans="1:4">
      <c r="A71" s="27" t="s">
        <v>177</v>
      </c>
      <c r="B71" s="32" t="s">
        <v>220</v>
      </c>
    </row>
    <row r="72" spans="1:4">
      <c r="A72" s="27" t="s">
        <v>174</v>
      </c>
      <c r="B72" s="32">
        <v>38</v>
      </c>
    </row>
    <row r="73" spans="1:4" ht="15" thickBot="1">
      <c r="A73" s="28" t="s">
        <v>175</v>
      </c>
      <c r="B73" s="44">
        <v>15</v>
      </c>
    </row>
    <row r="74" spans="1:4" ht="15" thickBot="1"/>
    <row r="75" spans="1:4" ht="15" thickBot="1">
      <c r="A75" s="76" t="s">
        <v>145</v>
      </c>
      <c r="B75" s="77"/>
      <c r="C75" s="78" t="s">
        <v>147</v>
      </c>
      <c r="D75" s="79"/>
    </row>
    <row r="76" spans="1:4">
      <c r="A76" s="45" t="s">
        <v>47</v>
      </c>
      <c r="B76" s="46" t="str">
        <f>VLOOKUP(B67,B67,1)</f>
        <v>EWF</v>
      </c>
      <c r="C76" s="3" t="s">
        <v>51</v>
      </c>
      <c r="D76" s="3">
        <f>SUM(D89*B96)/B97</f>
        <v>814.33333333333337</v>
      </c>
    </row>
    <row r="77" spans="1:4">
      <c r="A77" s="26" t="s">
        <v>24</v>
      </c>
      <c r="B77" s="32">
        <v>42</v>
      </c>
      <c r="C77" s="11" t="s">
        <v>8</v>
      </c>
      <c r="D77" s="3" t="str">
        <f>VLOOKUP(B77,A4:E25,4)</f>
        <v>1 1/2”Ø x 3/8” keyway</v>
      </c>
    </row>
    <row r="78" spans="1:4">
      <c r="A78" s="26" t="s">
        <v>0</v>
      </c>
      <c r="B78" s="32" t="s">
        <v>206</v>
      </c>
      <c r="C78" s="11" t="s">
        <v>10</v>
      </c>
      <c r="D78" s="3" t="str">
        <f>VLOOKUP(B77,A4:E25,5)</f>
        <v>UCP208</v>
      </c>
    </row>
    <row r="79" spans="1:4">
      <c r="A79" s="26" t="s">
        <v>75</v>
      </c>
      <c r="B79" s="32" t="s">
        <v>199</v>
      </c>
      <c r="C79" s="11" t="s">
        <v>7</v>
      </c>
      <c r="D79" s="3" t="str">
        <f>VLOOKUP(B77,A4:E25,3)</f>
        <v>3”Ø x 3”L x 1 1/2”Ø bore x 3/8” keyway</v>
      </c>
    </row>
    <row r="80" spans="1:4">
      <c r="A80" s="26" t="s">
        <v>40</v>
      </c>
      <c r="B80" s="32" t="s">
        <v>197</v>
      </c>
      <c r="C80" s="11" t="s">
        <v>8</v>
      </c>
      <c r="D80" s="3" t="str">
        <f>VLOOKUP(B77,A4:E25,2)</f>
        <v>1 1/2”Ø bore x 3/8" keyway</v>
      </c>
    </row>
    <row r="81" spans="1:4">
      <c r="A81" s="26" t="s">
        <v>41</v>
      </c>
      <c r="B81" s="32" t="s">
        <v>9</v>
      </c>
      <c r="C81" s="11" t="s">
        <v>160</v>
      </c>
      <c r="D81" s="3">
        <f>VLOOKUP(B77,A4:F25,6)</f>
        <v>1.5</v>
      </c>
    </row>
    <row r="82" spans="1:4">
      <c r="A82" s="27" t="s">
        <v>3</v>
      </c>
      <c r="B82" s="32" t="s">
        <v>221</v>
      </c>
      <c r="D82" s="3"/>
    </row>
    <row r="83" spans="1:4">
      <c r="A83" s="27" t="s">
        <v>44</v>
      </c>
      <c r="B83" s="32" t="s">
        <v>222</v>
      </c>
      <c r="D83" s="3"/>
    </row>
    <row r="84" spans="1:4" ht="15" thickBot="1">
      <c r="A84" s="28" t="s">
        <v>144</v>
      </c>
      <c r="B84" s="44">
        <v>811</v>
      </c>
      <c r="D84" s="3"/>
    </row>
    <row r="85" spans="1:4" ht="15" thickBot="1">
      <c r="D85" s="3"/>
    </row>
    <row r="86" spans="1:4" ht="15" thickBot="1">
      <c r="A86" s="76" t="s">
        <v>146</v>
      </c>
      <c r="B86" s="77"/>
      <c r="C86" s="78" t="s">
        <v>148</v>
      </c>
      <c r="D86" s="79"/>
    </row>
    <row r="87" spans="1:4">
      <c r="A87" s="47" t="s">
        <v>52</v>
      </c>
      <c r="B87" s="48" t="s">
        <v>53</v>
      </c>
      <c r="C87" s="11" t="s">
        <v>25</v>
      </c>
      <c r="D87" s="41">
        <f>VLOOKUP(TRIM(B89),P3:W56,5,FALSE)</f>
        <v>5</v>
      </c>
    </row>
    <row r="88" spans="1:4">
      <c r="A88" s="26" t="s">
        <v>83</v>
      </c>
      <c r="B88" s="32" t="s">
        <v>139</v>
      </c>
      <c r="C88" s="11" t="s">
        <v>42</v>
      </c>
      <c r="D88" s="3">
        <f>VLOOKUP(TRIM(B89),P3:W56,6,FALSE)</f>
        <v>3</v>
      </c>
    </row>
    <row r="89" spans="1:4">
      <c r="A89" s="26" t="s">
        <v>25</v>
      </c>
      <c r="B89" s="32" t="s">
        <v>101</v>
      </c>
      <c r="C89" s="3" t="s">
        <v>50</v>
      </c>
      <c r="D89" s="31">
        <f>VLOOKUP(TRIM(B89),P3:W56,2,FALSE)</f>
        <v>1745</v>
      </c>
    </row>
    <row r="90" spans="1:4">
      <c r="A90" s="26" t="s">
        <v>43</v>
      </c>
      <c r="B90" s="32">
        <v>220</v>
      </c>
      <c r="C90" s="3" t="s">
        <v>74</v>
      </c>
      <c r="D90" s="3">
        <f>VLOOKUP(TRIM(B89),P3:W56,7,FALSE)</f>
        <v>4</v>
      </c>
    </row>
    <row r="91" spans="1:4">
      <c r="A91" s="27" t="s">
        <v>73</v>
      </c>
      <c r="B91" s="32">
        <v>60</v>
      </c>
      <c r="C91" s="3" t="s">
        <v>79</v>
      </c>
      <c r="D91" s="3">
        <f>VLOOKUP(TRIM(B89),P3:W56,3,FALSE)</f>
        <v>28</v>
      </c>
    </row>
    <row r="92" spans="1:4">
      <c r="A92" s="27" t="s">
        <v>75</v>
      </c>
      <c r="B92" s="32" t="s">
        <v>61</v>
      </c>
      <c r="C92" s="3" t="s">
        <v>80</v>
      </c>
      <c r="D92" s="3">
        <f>VLOOKUP(TRIM(B89),P3:W56,4,FALSE)</f>
        <v>8</v>
      </c>
    </row>
    <row r="93" spans="1:4">
      <c r="A93" s="27" t="s">
        <v>76</v>
      </c>
      <c r="B93" s="32" t="s">
        <v>62</v>
      </c>
      <c r="C93" s="11" t="s">
        <v>5</v>
      </c>
      <c r="D93" s="3" t="str">
        <f>VLOOKUP(TRIM(B89),P3:W56,8,FALSE)</f>
        <v>2B</v>
      </c>
    </row>
    <row r="94" spans="1:4">
      <c r="A94" s="27" t="s">
        <v>50</v>
      </c>
      <c r="B94" s="30">
        <f>VLOOKUP(D89,D89,1)</f>
        <v>1745</v>
      </c>
      <c r="C94" s="11" t="s">
        <v>157</v>
      </c>
      <c r="D94" s="3">
        <f>SUM(D91)+36</f>
        <v>64</v>
      </c>
    </row>
    <row r="95" spans="1:4">
      <c r="A95" s="27" t="s">
        <v>144</v>
      </c>
      <c r="B95" s="30">
        <f>VLOOKUP(B84,B84,1)</f>
        <v>811</v>
      </c>
      <c r="C95" s="3" t="s">
        <v>158</v>
      </c>
      <c r="D95" s="3">
        <f>ROUNDUP(SUM(D81*25.4)+36, 0)</f>
        <v>75</v>
      </c>
    </row>
    <row r="96" spans="1:4">
      <c r="A96" s="27" t="s">
        <v>5</v>
      </c>
      <c r="B96" s="33">
        <v>3.5</v>
      </c>
    </row>
    <row r="97" spans="1:2">
      <c r="A97" s="27" t="s">
        <v>6</v>
      </c>
      <c r="B97" s="33">
        <v>7.5</v>
      </c>
    </row>
    <row r="98" spans="1:2" ht="15" thickBot="1">
      <c r="A98" s="28" t="s">
        <v>51</v>
      </c>
      <c r="B98" s="29">
        <f>VLOOKUP(D76,D76,1)</f>
        <v>814.33333333333337</v>
      </c>
    </row>
  </sheetData>
  <sheetProtection algorithmName="SHA-512" hashValue="jbL64x9uczRZyTu/brOWLYTkFj7HWPFwIPjXdjgyhu3OAiz/PVy2TNro4iImkPmOWg0Wtn/9uUcqp+8pjPlzfg==" saltValue="HDtKDqjGtfK4uiGau8LyvQ==" spinCount="100000" sheet="1" scenarios="1"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6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$C$48:$C$51</formula1>
    </dataValidation>
    <dataValidation type="list" allowBlank="1" showInputMessage="1" showErrorMessage="1" sqref="B80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F27 B87" xr:uid="{BC83744C-A5D8-4E8D-9C7C-FFEBB8002174}">
      <formula1>Brand</formula1>
    </dataValidation>
    <dataValidation type="list" allowBlank="1" showInputMessage="1" showErrorMessage="1" sqref="F28:F29 B88:B90" xr:uid="{69D76E25-69A5-440E-B683-CA9B91145624}">
      <formula1>INDIRECT(B27)</formula1>
    </dataValidation>
    <dataValidation type="list" allowBlank="1" showInputMessage="1" showErrorMessage="1" sqref="B67" xr:uid="{E285A008-9E8B-4013-BC06-82BEF9ACEE7F}">
      <formula1>$B$48:$B$49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79" xr:uid="{E44F30C8-98A6-4A8E-82B8-CF69B93EB14D}">
      <formula1>$A$48:$A$51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Panel Fan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2026-04-02T09:24:14Z</cp:lastPrinted>
  <dcterms:created xsi:type="dcterms:W3CDTF">2026-03-28T03:07:18Z</dcterms:created>
  <dcterms:modified xsi:type="dcterms:W3CDTF">2026-07-06T06:25:38Z</dcterms:modified>
</cp:coreProperties>
</file>