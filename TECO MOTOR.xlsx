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Sales 1\Desktop\"/>
    </mc:Choice>
  </mc:AlternateContent>
  <xr:revisionPtr revIDLastSave="0" documentId="13_ncr:1_{FA1E4431-CB0A-41D8-BF3D-81AD1A700089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TECO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70" i="1" l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69" i="1"/>
  <c r="I61" i="1"/>
  <c r="I62" i="1"/>
  <c r="I63" i="1"/>
  <c r="I64" i="1"/>
  <c r="I65" i="1"/>
  <c r="I66" i="1"/>
  <c r="I67" i="1"/>
  <c r="I60" i="1"/>
  <c r="I9" i="1"/>
  <c r="I10" i="1"/>
  <c r="I11" i="1"/>
  <c r="I13" i="1"/>
  <c r="I15" i="1"/>
  <c r="I16" i="1"/>
  <c r="I17" i="1"/>
  <c r="I18" i="1"/>
  <c r="I21" i="1"/>
  <c r="I22" i="1"/>
  <c r="I23" i="1"/>
  <c r="I27" i="1"/>
  <c r="I28" i="1"/>
  <c r="I29" i="1"/>
  <c r="I33" i="1"/>
  <c r="I34" i="1"/>
  <c r="I35" i="1"/>
  <c r="I36" i="1"/>
  <c r="I37" i="1"/>
  <c r="I38" i="1"/>
  <c r="I41" i="1"/>
  <c r="I42" i="1"/>
  <c r="I43" i="1"/>
  <c r="I44" i="1"/>
  <c r="I48" i="1"/>
  <c r="I49" i="1"/>
  <c r="I50" i="1"/>
  <c r="I54" i="1"/>
  <c r="I55" i="1"/>
  <c r="I56" i="1"/>
  <c r="I57" i="1"/>
  <c r="I58" i="1"/>
  <c r="B52" i="1"/>
  <c r="I52" i="1" s="1"/>
  <c r="B53" i="1"/>
  <c r="I53" i="1" s="1"/>
  <c r="B51" i="1"/>
  <c r="I51" i="1" s="1"/>
  <c r="B12" i="1"/>
  <c r="I12" i="1" s="1"/>
  <c r="B13" i="1"/>
  <c r="B14" i="1"/>
  <c r="I14" i="1" s="1"/>
  <c r="B19" i="1"/>
  <c r="I19" i="1" s="1"/>
  <c r="B20" i="1"/>
  <c r="I20" i="1" s="1"/>
  <c r="B24" i="1"/>
  <c r="I24" i="1" s="1"/>
  <c r="B25" i="1"/>
  <c r="I25" i="1" s="1"/>
  <c r="B26" i="1"/>
  <c r="I26" i="1" s="1"/>
  <c r="B30" i="1"/>
  <c r="I30" i="1" s="1"/>
  <c r="B31" i="1"/>
  <c r="I31" i="1" s="1"/>
  <c r="B32" i="1"/>
  <c r="I32" i="1" s="1"/>
  <c r="B39" i="1"/>
  <c r="I39" i="1" s="1"/>
  <c r="B40" i="1"/>
  <c r="I40" i="1" s="1"/>
  <c r="B41" i="1"/>
  <c r="B45" i="1"/>
  <c r="I45" i="1" s="1"/>
  <c r="B46" i="1"/>
  <c r="I46" i="1" s="1"/>
  <c r="B47" i="1"/>
  <c r="I47" i="1" s="1"/>
  <c r="B8" i="1"/>
  <c r="I8" i="1" s="1"/>
  <c r="B7" i="1"/>
  <c r="I7" i="1" s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61" i="1" l="1"/>
  <c r="H62" i="1"/>
  <c r="H63" i="1"/>
  <c r="H64" i="1"/>
  <c r="H65" i="1"/>
  <c r="H66" i="1"/>
  <c r="H67" i="1"/>
  <c r="H60" i="1"/>
</calcChain>
</file>

<file path=xl/sharedStrings.xml><?xml version="1.0" encoding="utf-8"?>
<sst xmlns="http://schemas.openxmlformats.org/spreadsheetml/2006/main" count="506" uniqueCount="274">
  <si>
    <t>TECO THREE PHASE INDUCTION MOTOR PERFORMANCE DATA</t>
  </si>
  <si>
    <t>Standard Specifications: 220V 60Hz</t>
  </si>
  <si>
    <t>OUTPUT</t>
  </si>
  <si>
    <t>FULL LOAD
RPM</t>
  </si>
  <si>
    <t>FRAME
NO.</t>
  </si>
  <si>
    <t>EFFICIENCY (%)</t>
  </si>
  <si>
    <t>POWER FACTOR (%)</t>
  </si>
  <si>
    <t>CURRENT (A)</t>
  </si>
  <si>
    <t>TORQUE</t>
  </si>
  <si>
    <t>ROTOR GD²
(kg-m²)</t>
  </si>
  <si>
    <t>HP</t>
  </si>
  <si>
    <t>kW</t>
  </si>
  <si>
    <t>FULL
LOAD</t>
  </si>
  <si>
    <t>3/4
LOAD</t>
  </si>
  <si>
    <t>1/2
LOAD</t>
  </si>
  <si>
    <t>LOCKED
LOAD</t>
  </si>
  <si>
    <t>FULL
LOAD
(kg-m)</t>
  </si>
  <si>
    <t>LOCKED
LOAD
(%FLT)</t>
  </si>
  <si>
    <t>PULL
OUT
(%FLT)</t>
  </si>
  <si>
    <t>71</t>
  </si>
  <si>
    <t>80</t>
  </si>
  <si>
    <t>90L</t>
  </si>
  <si>
    <t>100L</t>
  </si>
  <si>
    <t>112M</t>
  </si>
  <si>
    <t>132S</t>
  </si>
  <si>
    <t>132M</t>
  </si>
  <si>
    <t>160M</t>
  </si>
  <si>
    <t>160L</t>
  </si>
  <si>
    <t>180MC</t>
  </si>
  <si>
    <t>180LC</t>
  </si>
  <si>
    <t>180MA</t>
  </si>
  <si>
    <t>180LA</t>
  </si>
  <si>
    <t>200LC</t>
  </si>
  <si>
    <t>200LA</t>
  </si>
  <si>
    <t>225SC</t>
  </si>
  <si>
    <t>225SA</t>
  </si>
  <si>
    <t>A250SC</t>
  </si>
  <si>
    <t>280S</t>
  </si>
  <si>
    <t>A250SA</t>
  </si>
  <si>
    <t>A250MC</t>
  </si>
  <si>
    <t>280M</t>
  </si>
  <si>
    <t>A250MA</t>
  </si>
  <si>
    <t>315S</t>
  </si>
  <si>
    <t>315M</t>
  </si>
  <si>
    <t>TYPE</t>
  </si>
  <si>
    <t>TEFC</t>
  </si>
  <si>
    <t>POLE</t>
  </si>
  <si>
    <t>Foot mounted</t>
  </si>
  <si>
    <t>Flange mounted</t>
  </si>
  <si>
    <t>Induction motor - TEFC
0.5 Hp, 0.37 Kw,  3 Phase
 220/380/440v, 60 Hz
2 Pole - 3400 rpm
Flange mounted - 71 Frame
TECO Brand</t>
  </si>
  <si>
    <t>Induction motor - TEFC
0.5 Hp, 0.37 Kw,  3 Phase
 220/380/440v, 60 Hz
4 Pole - 1680 rpm
Flange mounted - 71 Frame
TECO Brand</t>
  </si>
  <si>
    <t>Induction motor - TEFC
0.5 Hp, 0.37 Kw,  3 Phase
 220/380/440v, 60 Hz
6 Pole - 1135 rpm
Flange mounted - 80 Frame
TECO Brand</t>
  </si>
  <si>
    <t>Induction motor - TEFC
1 Hp, 0.75 Kw,  3 Phase
 220/380/440v, 60 Hz
2 Pole - 3395 rpm
Flange mounted - 80 Frame
TECO Brand</t>
  </si>
  <si>
    <t>Induction motor - TEFC
1 Hp, 0.75 Kw,  3 Phase
 220/380/440v, 60 Hz
4 Pole - 1710 rpm
Flange mounted - 80 Frame
TECO Brand</t>
  </si>
  <si>
    <t>Induction motor - TEFC
1 Hp, 0.75 Kw,  3 Phase
 220/380/440v, 60 Hz
6 Pole - 1140 rpm
Flange mounted - 90L Frame
TECO Brand</t>
  </si>
  <si>
    <t>Induction motor - TEFC
2 Hp, 1.5 Kw,  3 Phase
 220/380/440v, 60 Hz
2 Pole - 3425 rpm
Flange mounted - 90L Frame
TECO Brand</t>
  </si>
  <si>
    <t>Induction motor - TEFC
2 Hp, 1.5 Kw,  3 Phase
 220/380/440v, 60 Hz
4 Pole - 1715 rpm
Flange mounted - 90L Frame
TECO Brand</t>
  </si>
  <si>
    <t>Induction motor - TEFC
2 Hp, 1.5 Kw,  3 Phase
 220/380/440v, 60 Hz
6 Pole - 1140 rpm
Flange mounted - 100L Frame
TECO Brand</t>
  </si>
  <si>
    <t>Induction motor - TEFC
3 Hp, 2.2 Kw,  3 Phase
 220/380/440v, 60 Hz
2 Pole - 3450 rpm
Flange mounted - 90L Frame
TECO Brand</t>
  </si>
  <si>
    <t>Induction motor - TEFC
3 Hp, 2.2 Kw,  3 Phase
 220/380/440v, 60 Hz
4 Pole - 1735 rpm
Flange mounted - 100L Frame
TECO Brand</t>
  </si>
  <si>
    <t>Induction motor - TEFC
3 Hp, 2.2 Kw,  3 Phase
 220/380/440v, 60 Hz
6 Pole - 1160 rpm
Flange mounted - 112M Frame
TECO Brand</t>
  </si>
  <si>
    <t>Induction motor - TEFC
5 Hp, 3.7 Kw,  3 Phase
 220/380/440v, 60 Hz
2 Pole - 3485 rpm
Flange mounted - 112M Frame
TECO Brand</t>
  </si>
  <si>
    <t>Induction motor - TEFC
5 Hp, 3.7 Kw,  3 Phase
 220/380/440v, 60 Hz
4 Pole - 1745 rpm
Flange mounted - 112M Frame
TECO Brand</t>
  </si>
  <si>
    <t>Induction motor - TEFC
5 Hp, 3.7 Kw,  3 Phase
 220/380/440v, 60 Hz
6 Pole - 1160 rpm
Flange mounted - 132S Frame
TECO Brand</t>
  </si>
  <si>
    <t>Induction motor - TEFC
7.5 Hp, 5.5 Kw,  3 Phase
 220/380/440v, 60 Hz
2 Pole - 3505 rpm
Flange mounted - 132S Frame
TECO Brand</t>
  </si>
  <si>
    <t>Induction motor - TEFC
7.5 Hp, 5.5 Kw,  3 Phase
 220/380/440v, 60 Hz
4 Pole - 1750 rpm
Flange mounted - 132S Frame
TECO Brand</t>
  </si>
  <si>
    <t>Induction motor - TEFC
7.5 Hp, 5.5 Kw,  3 Phase
 220/380/440v, 60 Hz
6 Pole - 1160 rpm
Flange mounted - 132M Frame
TECO Brand</t>
  </si>
  <si>
    <t>Induction motor - TEFC
10 Hp, 7.5 Kw,  3 Phase
 220/380/440v, 60 Hz
2 Pole - 3510 rpm
Flange mounted - 132S Frame
TECO Brand</t>
  </si>
  <si>
    <t>Induction motor - TEFC
10 Hp, 7.5 Kw,  3 Phase
 220/380/440v, 60 Hz
4 Pole - 1750 rpm
Flange mounted - 132M Frame
TECO Brand</t>
  </si>
  <si>
    <t>Induction motor - TEFC
10 Hp, 7.5 Kw,  3 Phase
 220/380/440v, 60 Hz
6 Pole - 1175 rpm
Flange mounted - 160M Frame
TECO Brand</t>
  </si>
  <si>
    <t>Induction motor - TEFC
15 Hp, 11 Kw,  3 Phase
 220/380/440v, 60 Hz
2 Pole - 3540 rpm
Flange mounted - 160M Frame
TECO Brand</t>
  </si>
  <si>
    <t>Induction motor - TEFC
15 Hp, 11 Kw,  3 Phase
 220/380/440v, 60 Hz
4 Pole - 1760 rpm
Flange mounted - 160M Frame
TECO Brand</t>
  </si>
  <si>
    <t>Induction motor - TEFC
15 Hp, 11 Kw,  3 Phase
 220/380/440v, 60 Hz
6 Pole - 1170 rpm
Flange mounted - 160L Frame
TECO Brand</t>
  </si>
  <si>
    <t>Induction motor - TEFC
20 Hp, 15 Kw,  3 Phase
 220/380/440v, 60 Hz
2 Pole - 3520 rpm
Flange mounted - 160M Frame
TECO Brand</t>
  </si>
  <si>
    <t>Induction motor - TEFC
20 Hp, 15 Kw,  3 Phase
 220/380/440v, 60 Hz
4 Pole - 1760 rpm
Flange mounted - 160L Frame
TECO Brand</t>
  </si>
  <si>
    <t>Induction motor - TEFC
20 Hp, 15 Kw,  3 Phase
 220/380/440v, 60 Hz
6 Pole - 1170 rpm
Flange mounted - 180MC Frame
TECO Brand</t>
  </si>
  <si>
    <t>Induction motor - TEFC
25 Hp, 18.5 Kw,  3 Phase
 220/380/440v, 60 Hz
2 Pole - 3530 rpm
Flange mounted - 160L Frame
TECO Brand</t>
  </si>
  <si>
    <t>Induction motor - TEFC
25 Hp, 18.5 Kw,  3 Phase
 220/380/440v, 60 Hz
4 Pole - 1760 rpm
Flange mounted - 180MC Frame
TECO Brand</t>
  </si>
  <si>
    <t>Induction motor - TEFC
25 Hp, 18.5 Kw,  3 Phase
 220/380/440v, 60 Hz
6 Pole - 1170 rpm
Flange mounted - 180LC Frame
TECO Brand</t>
  </si>
  <si>
    <t>Induction motor - TEFC
30 Hp, 22 Kw,  3 Phase
 220/380/440v, 60 Hz
2 Pole - 3540 rpm
Flange mounted - 180MA Frame
TECO Brand</t>
  </si>
  <si>
    <t>Induction motor - TEFC
30 Hp, 22 Kw,  3 Phase
 220/380/440v, 60 Hz
4 Pole - 1765 rpm
Flange mounted - 180MC Frame
TECO Brand</t>
  </si>
  <si>
    <t>Induction motor - TEFC
30 Hp, 22 Kw,  3 Phase
 220/380/440v, 60 Hz
6 Pole - 1175 rpm
Flange mounted - 180LC Frame
TECO Brand</t>
  </si>
  <si>
    <t>Induction motor - TEFC
40 Hp, 30 Kw,  3 Phase
 220/380/440v, 60 Hz
2 Pole - 3520 rpm
Flange mounted - 180LA Frame
TECO Brand</t>
  </si>
  <si>
    <t>Induction motor - TEFC
40 Hp, 30 Kw,  3 Phase
 220/380/440v, 60 Hz
4 Pole - 1760 rpm
Flange mounted - 180LC Frame
TECO Brand</t>
  </si>
  <si>
    <t>Induction motor - TEFC
40 Hp, 30 Kw,  3 Phase
 220/380/440v, 60 Hz
6 Pole - 1170 rpm
Flange mounted - 200LC Frame
TECO Brand</t>
  </si>
  <si>
    <t>Induction motor - TEFC
50 Hp, 37 Kw,  3 Phase
 220/380/440v, 60 Hz
2 Pole - 3545 rpm
Flange mounted - 200LA Frame
TECO Brand</t>
  </si>
  <si>
    <t>Induction motor - TEFC
50 Hp, 37 Kw,  3 Phase
 220/380/440v, 60 Hz
4 Pole - 1770 rpm
Flange mounted - 200LC Frame
TECO Brand</t>
  </si>
  <si>
    <t>Induction motor - TEFC
50 Hp, 37 Kw,  3 Phase
 220/380/440v, 60 Hz
6 Pole - 1175 rpm
Flange mounted - 200LC Frame
TECO Brand</t>
  </si>
  <si>
    <t>Induction motor - TEFC
60 Hp, 45 Kw,  3 Phase
 220/380/440v, 60 Hz
2 Pole - 3545 rpm
Flange mounted - 200LA Frame
TECO Brand</t>
  </si>
  <si>
    <t>Induction motor - TEFC
60 Hp, 45 Kw,  3 Phase
 220/380/440v, 60 Hz
4 Pole - 1765 rpm
Flange mounted - 200LC Frame
TECO Brand</t>
  </si>
  <si>
    <t>Induction motor - TEFC
60 Hp, 45 Kw,  3 Phase
 220/380/440v, 60 Hz
6 Pole - 1180 rpm
Flange mounted - 225SC Frame
TECO Brand</t>
  </si>
  <si>
    <t>Induction motor - TEFC
75 Hp, 55 Kw,  3 Phase
 220/380/440v, 60 Hz
2 Pole - 3550 rpm
Flange mounted - 225SA Frame
TECO Brand</t>
  </si>
  <si>
    <t>Induction motor - TEFC
75 Hp, 55 Kw,  3 Phase
 220/380/440v, 60 Hz
4 Pole - 1775 rpm
Flange mounted - 225SC Frame
TECO Brand</t>
  </si>
  <si>
    <t>Induction motor - TEFC
75 Hp, 55 Kw,  3 Phase
 220/380/440v, 60 Hz
6 Pole - 1175 rpm
Flange mounted - A250SC Frame
TECO Brand</t>
  </si>
  <si>
    <t>Induction motor - TEFC
100 Hp, 75 Kw,  3 Phase
 220/380/440v, 60 Hz
2 Pole - 3550 rpm
Flange mounted - A250SA Frame
TECO Brand</t>
  </si>
  <si>
    <t>Induction motor - TEFC
100 Hp, 75 Kw,  3 Phase
 220/380/440v, 60 Hz
4 Pole - 1775 rpm
Flange mounted - A250SC Frame
TECO Brand</t>
  </si>
  <si>
    <t>Induction motor - TEFC
100 Hp, 75 Kw,  3 Phase
 220/380/440v, 60 Hz
6 Pole - 1175 rpm
Flange mounted - A250MC Frame
TECO Brand</t>
  </si>
  <si>
    <t>Induction motor - TEFC
125 Hp, 90 Kw,  3 Phase
 220/380/440v, 60 Hz
2 Pole - 3555 rpm
Flange mounted - A250MA Frame
TECO Brand</t>
  </si>
  <si>
    <t>Induction motor - TEFC
125 Hp, 90 Kw,  3 Phase
 220/380/440v, 60 Hz
4 Pole - 1770 rpm
Flange mounted - A250MC Frame
TECO Brand</t>
  </si>
  <si>
    <t>Induction motor - TEFC
125 Hp, 90 Kw,  3 Phase
 220/380/440v, 60 Hz
6 Pole - 1180 rpm
Flange mounted - 280S Frame
TECO Brand</t>
  </si>
  <si>
    <t>Induction motor - TEFC
150 Hp, 110 Kw,  3 Phase
 220/380/440v, 60 Hz
2 Pole - 3565 rpm
Flange mounted - 280S Frame
TECO Brand</t>
  </si>
  <si>
    <t>Induction motor - TEFC
150 Hp, 110 Kw,  3 Phase
 220/380/440v, 60 Hz
4 Pole - 1770 rpm
Flange mounted - 280S Frame
TECO Brand</t>
  </si>
  <si>
    <t>Induction motor - TEFC
150 Hp, 110 Kw,  3 Phase
 220/380/440v, 60 Hz
6 Pole - 1180 rpm
Flange mounted - 280M Frame
TECO Brand</t>
  </si>
  <si>
    <t>Induction motor - TEFC
175 Hp, 132 Kw,  3 Phase
 220/380/440v, 60 Hz
2 Pole - 3565 rpm
Flange mounted - 280M Frame
TECO Brand</t>
  </si>
  <si>
    <t>Induction motor - TEFC
175 Hp, 132 Kw,  3 Phase
 220/380/440v, 60 Hz
4 Pole - 1770 rpm
Flange mounted - 280M Frame
TECO Brand</t>
  </si>
  <si>
    <t>Induction motor - TEFC
175 Hp, 132 Kw,  3 Phase
 220/380/440v, 60 Hz
6 Pole - 1185 rpm
Flange mounted - 315S Frame
TECO Brand</t>
  </si>
  <si>
    <t>Induction motor - TEFC
200 Hp, 160 Kw,  3 Phase
 220/380/440v, 60 Hz
2 Pole - 3570 rpm
Flange mounted - 315S Frame
TECO Brand</t>
  </si>
  <si>
    <t>Induction motor - TEFC
200 Hp, 160 Kw,  3 Phase
 220/380/440v, 60 Hz
4 Pole - 1775 rpm
Flange mounted - 315S Frame
TECO Brand</t>
  </si>
  <si>
    <t>Induction motor - TEFC
200 Hp, 160 Kw,  3 Phase
 220/380/440v, 60 Hz
6 Pole - 1185 rpm
Flange mounted - 315M Frame
TECO Brand</t>
  </si>
  <si>
    <t>Induction motor - TEFC
250 Hp, 200 Kw,  3 Phase
 220/380/440v, 60 Hz
2 Pole - 3570 rpm
Flange mounted - 315M Frame
TECO Brand</t>
  </si>
  <si>
    <t>Induction motor - TEFC
250 Hp, 200 Kw,  3 Phase
 220/380/440v, 60 Hz
4 Pole - 1775 rpm
Flange mounted - 315M Frame
TECO Brand</t>
  </si>
  <si>
    <t>Induction motor - TEFC
0.5 Hp, 0.37 Kw,  3 Phase
 220/380/440v, 60 Hz
2 Pole - 3400 rpm
Foot mounted - 71 Frame
TECO Brand</t>
  </si>
  <si>
    <t>Induction motor - TEFC
0.5 Hp, 0.37 Kw,  3 Phase
 220/380/440v, 60 Hz
4 Pole - 1680 rpm
Foot mounted - 71 Frame
TECO Brand</t>
  </si>
  <si>
    <t>Induction motor - TEFC
0.5 Hp, 0.37 Kw,  3 Phase
 220/380/440v, 60 Hz
6 Pole - 1135 rpm
Foot mounted - 80 Frame
TECO Brand</t>
  </si>
  <si>
    <t>Induction motor - TEFC
1 Hp, 0.75 Kw,  3 Phase
 220/380/440v, 60 Hz
2 Pole - 3395 rpm
Foot mounted - 80 Frame
TECO Brand</t>
  </si>
  <si>
    <t>Induction motor - TEFC
1 Hp, 0.75 Kw,  3 Phase
 220/380/440v, 60 Hz
4 Pole - 1710 rpm
Foot mounted - 80 Frame
TECO Brand</t>
  </si>
  <si>
    <t>Induction motor - TEFC
1 Hp, 0.75 Kw,  3 Phase
 220/380/440v, 60 Hz
6 Pole - 1140 rpm
Foot mounted - 90L Frame
TECO Brand</t>
  </si>
  <si>
    <t>Induction motor - TEFC
2 Hp, 1.5 Kw,  3 Phase
 220/380/440v, 60 Hz
2 Pole - 3425 rpm
Foot mounted - 90L Frame
TECO Brand</t>
  </si>
  <si>
    <t>Induction motor - TEFC
2 Hp, 1.5 Kw,  3 Phase
 220/380/440v, 60 Hz
4 Pole - 1715 rpm
Foot mounted - 90L Frame
TECO Brand</t>
  </si>
  <si>
    <t>Induction motor - TEFC
2 Hp, 1.5 Kw,  3 Phase
 220/380/440v, 60 Hz
6 Pole - 1140 rpm
Foot mounted - 100L Frame
TECO Brand</t>
  </si>
  <si>
    <t>Induction motor - TEFC
3 Hp, 2.2 Kw,  3 Phase
 220/380/440v, 60 Hz
2 Pole - 3450 rpm
Foot mounted - 90L Frame
TECO Brand</t>
  </si>
  <si>
    <t>Induction motor - TEFC
3 Hp, 2.2 Kw,  3 Phase
 220/380/440v, 60 Hz
4 Pole - 1735 rpm
Foot mounted - 100L Frame
TECO Brand</t>
  </si>
  <si>
    <t>Induction motor - TEFC
3 Hp, 2.2 Kw,  3 Phase
 220/380/440v, 60 Hz
6 Pole - 1160 rpm
Foot mounted - 112M Frame
TECO Brand</t>
  </si>
  <si>
    <t>Induction motor - TEFC
5 Hp, 3.7 Kw,  3 Phase
 220/380/440v, 60 Hz
2 Pole - 3485 rpm
Foot mounted - 112M Frame
TECO Brand</t>
  </si>
  <si>
    <t>Induction motor - TEFC
5 Hp, 3.7 Kw,  3 Phase
 220/380/440v, 60 Hz
4 Pole - 1745 rpm
Foot mounted - 112M Frame
TECO Brand</t>
  </si>
  <si>
    <t>Induction motor - TEFC
5 Hp, 3.7 Kw,  3 Phase
 220/380/440v, 60 Hz
6 Pole - 1160 rpm
Foot mounted - 132S Frame
TECO Brand</t>
  </si>
  <si>
    <t>Induction motor - TEFC
7.5 Hp, 5.5 Kw,  3 Phase
 220/380/440v, 60 Hz
2 Pole - 3505 rpm
Foot mounted - 132S Frame
TECO Brand</t>
  </si>
  <si>
    <t>Induction motor - TEFC
7.5 Hp, 5.5 Kw,  3 Phase
 220/380/440v, 60 Hz
4 Pole - 1750 rpm
Foot mounted - 132S Frame
TECO Brand</t>
  </si>
  <si>
    <t>Induction motor - TEFC
7.5 Hp, 5.5 Kw,  3 Phase
 220/380/440v, 60 Hz
6 Pole - 1160 rpm
Foot mounted - 132M Frame
TECO Brand</t>
  </si>
  <si>
    <t>Induction motor - TEFC
10 Hp, 7.5 Kw,  3 Phase
 220/380/440v, 60 Hz
2 Pole - 3510 rpm
Foot mounted - 132S Frame
TECO Brand</t>
  </si>
  <si>
    <t>Induction motor - TEFC
10 Hp, 7.5 Kw,  3 Phase
 220/380/440v, 60 Hz
4 Pole - 1750 rpm
Foot mounted - 132M Frame
TECO Brand</t>
  </si>
  <si>
    <t>Induction motor - TEFC
10 Hp, 7.5 Kw,  3 Phase
 220/380/440v, 60 Hz
6 Pole - 1175 rpm
Foot mounted - 160M Frame
TECO Brand</t>
  </si>
  <si>
    <t>Induction motor - TEFC
15 Hp, 11 Kw,  3 Phase
 220/380/440v, 60 Hz
2 Pole - 3540 rpm
Foot mounted - 160M Frame
TECO Brand</t>
  </si>
  <si>
    <t>Induction motor - TEFC
15 Hp, 11 Kw,  3 Phase
 220/380/440v, 60 Hz
4 Pole - 1760 rpm
Foot mounted - 160M Frame
TECO Brand</t>
  </si>
  <si>
    <t>Induction motor - TEFC
15 Hp, 11 Kw,  3 Phase
 220/380/440v, 60 Hz
6 Pole - 1170 rpm
Foot mounted - 160L Frame
TECO Brand</t>
  </si>
  <si>
    <t>Induction motor - TEFC
20 Hp, 15 Kw,  3 Phase
 220/380/440v, 60 Hz
2 Pole - 3520 rpm
Foot mounted - 160M Frame
TECO Brand</t>
  </si>
  <si>
    <t>Induction motor - TEFC
20 Hp, 15 Kw,  3 Phase
 220/380/440v, 60 Hz
4 Pole - 1760 rpm
Foot mounted - 160L Frame
TECO Brand</t>
  </si>
  <si>
    <t>Induction motor - TEFC
20 Hp, 15 Kw,  3 Phase
 220/380/440v, 60 Hz
6 Pole - 1170 rpm
Foot mounted - 180MC Frame
TECO Brand</t>
  </si>
  <si>
    <t>Induction motor - TEFC
25 Hp, 18.5 Kw,  3 Phase
 220/380/440v, 60 Hz
2 Pole - 3530 rpm
Foot mounted - 160L Frame
TECO Brand</t>
  </si>
  <si>
    <t>Induction motor - TEFC
25 Hp, 18.5 Kw,  3 Phase
 220/380/440v, 60 Hz
4 Pole - 1760 rpm
Foot mounted - 180MC Frame
TECO Brand</t>
  </si>
  <si>
    <t>Induction motor - TEFC
25 Hp, 18.5 Kw,  3 Phase
 220/380/440v, 60 Hz
6 Pole - 1170 rpm
Foot mounted - 180LC Frame
TECO Brand</t>
  </si>
  <si>
    <t>Induction motor - TEFC
30 Hp, 22 Kw,  3 Phase
 220/380/440v, 60 Hz
2 Pole - 3540 rpm
Foot mounted - 180MA Frame
TECO Brand</t>
  </si>
  <si>
    <t>Induction motor - TEFC
30 Hp, 22 Kw,  3 Phase
 220/380/440v, 60 Hz
4 Pole - 1765 rpm
Foot mounted - 180MC Frame
TECO Brand</t>
  </si>
  <si>
    <t>Induction motor - TEFC
30 Hp, 22 Kw,  3 Phase
 220/380/440v, 60 Hz
6 Pole - 1175 rpm
Foot mounted - 180LC Frame
TECO Brand</t>
  </si>
  <si>
    <t>Induction motor - TEFC
40 Hp, 30 Kw,  3 Phase
 220/380/440v, 60 Hz
2 Pole - 3520 rpm
Foot mounted - 180LA Frame
TECO Brand</t>
  </si>
  <si>
    <t>Induction motor - TEFC
40 Hp, 30 Kw,  3 Phase
 220/380/440v, 60 Hz
4 Pole - 1760 rpm
Foot mounted - 180LC Frame
TECO Brand</t>
  </si>
  <si>
    <t>Induction motor - TEFC
40 Hp, 30 Kw,  3 Phase
 220/380/440v, 60 Hz
6 Pole - 1170 rpm
Foot mounted - 200LC Frame
TECO Brand</t>
  </si>
  <si>
    <t>Induction motor - TEFC
50 Hp, 37 Kw,  3 Phase
 220/380/440v, 60 Hz
2 Pole - 3545 rpm
Foot mounted - 200LA Frame
TECO Brand</t>
  </si>
  <si>
    <t>Induction motor - TEFC
50 Hp, 37 Kw,  3 Phase
 220/380/440v, 60 Hz
4 Pole - 1770 rpm
Foot mounted - 200LC Frame
TECO Brand</t>
  </si>
  <si>
    <t>Induction motor - TEFC
50 Hp, 37 Kw,  3 Phase
 220/380/440v, 60 Hz
6 Pole - 1175 rpm
Foot mounted - 200LC Frame
TECO Brand</t>
  </si>
  <si>
    <t>Induction motor - TEFC
60 Hp, 45 Kw,  3 Phase
 220/380/440v, 60 Hz
2 Pole - 3545 rpm
Foot mounted - 200LA Frame
TECO Brand</t>
  </si>
  <si>
    <t>Induction motor - TEFC
60 Hp, 45 Kw,  3 Phase
 220/380/440v, 60 Hz
4 Pole - 1765 rpm
Foot mounted - 200LC Frame
TECO Brand</t>
  </si>
  <si>
    <t>Induction motor - TEFC
60 Hp, 45 Kw,  3 Phase
 220/380/440v, 60 Hz
6 Pole - 1180 rpm
Foot mounted - 225SC Frame
TECO Brand</t>
  </si>
  <si>
    <t>Induction motor - TEFC
75 Hp, 55 Kw,  3 Phase
 220/380/440v, 60 Hz
2 Pole - 3550 rpm
Foot mounted - 225SA Frame
TECO Brand</t>
  </si>
  <si>
    <t>Induction motor - TEFC
75 Hp, 55 Kw,  3 Phase
 220/380/440v, 60 Hz
4 Pole - 1775 rpm
Foot mounted - 225SC Frame
TECO Brand</t>
  </si>
  <si>
    <t>Induction motor - TEFC
75 Hp, 55 Kw,  3 Phase
 220/380/440v, 60 Hz
6 Pole - 1175 rpm
Foot mounted - A250SC Frame
TECO Brand</t>
  </si>
  <si>
    <t>Induction motor - TEFC
100 Hp, 75 Kw,  3 Phase
 220/380/440v, 60 Hz
2 Pole - 3550 rpm
Foot mounted - A250SA Frame
TECO Brand</t>
  </si>
  <si>
    <t>Induction motor - TEFC
100 Hp, 75 Kw,  3 Phase
 220/380/440v, 60 Hz
4 Pole - 1775 rpm
Foot mounted - A250SC Frame
TECO Brand</t>
  </si>
  <si>
    <t>Induction motor - TEFC
100 Hp, 75 Kw,  3 Phase
 220/380/440v, 60 Hz
6 Pole - 1175 rpm
Foot mounted - A250MC Frame
TECO Brand</t>
  </si>
  <si>
    <t>Induction motor - TEFC
125 Hp, 90 Kw,  3 Phase
 220/380/440v, 60 Hz
2 Pole - 3555 rpm
Foot mounted - A250MA Frame
TECO Brand</t>
  </si>
  <si>
    <t>Induction motor - TEFC
125 Hp, 90 Kw,  3 Phase
 220/380/440v, 60 Hz
4 Pole - 1770 rpm
Foot mounted - A250MC Frame
TECO Brand</t>
  </si>
  <si>
    <t>Induction motor - TEFC
125 Hp, 90 Kw,  3 Phase
 220/380/440v, 60 Hz
6 Pole - 1180 rpm
Foot mounted - 280S Frame
TECO Brand</t>
  </si>
  <si>
    <t>Induction motor - TEFC
150 Hp, 110 Kw,  3 Phase
 220/380/440v, 60 Hz
2 Pole - 3565 rpm
Foot mounted - 280S Frame
TECO Brand</t>
  </si>
  <si>
    <t>Induction motor - TEFC
150 Hp, 110 Kw,  3 Phase
 220/380/440v, 60 Hz
4 Pole - 1770 rpm
Foot mounted - 280S Frame
TECO Brand</t>
  </si>
  <si>
    <t>Induction motor - TEFC
150 Hp, 110 Kw,  3 Phase
 220/380/440v, 60 Hz
6 Pole - 1180 rpm
Foot mounted - 280M Frame
TECO Brand</t>
  </si>
  <si>
    <t>Induction motor - TEFC
175 Hp, 132 Kw,  3 Phase
 220/380/440v, 60 Hz
2 Pole - 3565 rpm
Foot mounted - 280M Frame
TECO Brand</t>
  </si>
  <si>
    <t>Induction motor - TEFC
175 Hp, 132 Kw,  3 Phase
 220/380/440v, 60 Hz
4 Pole - 1770 rpm
Foot mounted - 280M Frame
TECO Brand</t>
  </si>
  <si>
    <t>Induction motor - TEFC
175 Hp, 132 Kw,  3 Phase
 220/380/440v, 60 Hz
6 Pole - 1185 rpm
Foot mounted - 315S Frame
TECO Brand</t>
  </si>
  <si>
    <t>Induction motor - TEFC
200 Hp, 160 Kw,  3 Phase
 220/380/440v, 60 Hz
2 Pole - 3570 rpm
Foot mounted - 315S Frame
TECO Brand</t>
  </si>
  <si>
    <t>Induction motor - TEFC
200 Hp, 160 Kw,  3 Phase
 220/380/440v, 60 Hz
4 Pole - 1775 rpm
Foot mounted - 315S Frame
TECO Brand</t>
  </si>
  <si>
    <t>Induction motor - TEFC
200 Hp, 160 Kw,  3 Phase
 220/380/440v, 60 Hz
6 Pole - 1185 rpm
Foot mounted - 315M Frame
TECO Brand</t>
  </si>
  <si>
    <t>Induction motor - TEFC
250 Hp, 200 Kw,  3 Phase
 220/380/440v, 60 Hz
2 Pole - 3570 rpm
Foot mounted - 315M Frame
TECO Brand</t>
  </si>
  <si>
    <t>Induction motor - TEFC
250 Hp, 200 Kw,  3 Phase
 220/380/440v, 60 Hz
4 Pole - 1775 rpm
Foot mounted - 315M Frame
TECO Brand</t>
  </si>
  <si>
    <t>Formula</t>
  </si>
  <si>
    <t>TECO - THREE PHASE</t>
  </si>
  <si>
    <t>TECO - SINGLE PHASE</t>
  </si>
  <si>
    <t>A71</t>
  </si>
  <si>
    <t>90S</t>
  </si>
  <si>
    <t>112S</t>
  </si>
  <si>
    <t>SELLING PRICE</t>
  </si>
  <si>
    <t>SUPPLIER
PRICE</t>
  </si>
  <si>
    <t>1</t>
  </si>
  <si>
    <t>2</t>
  </si>
  <si>
    <t>3</t>
  </si>
  <si>
    <t>5</t>
  </si>
  <si>
    <t>10</t>
  </si>
  <si>
    <t>15</t>
  </si>
  <si>
    <t>20</t>
  </si>
  <si>
    <t>25</t>
  </si>
  <si>
    <t>30</t>
  </si>
  <si>
    <t>40</t>
  </si>
  <si>
    <t>50</t>
  </si>
  <si>
    <t>60</t>
  </si>
  <si>
    <t>75</t>
  </si>
  <si>
    <t>100</t>
  </si>
  <si>
    <t>125</t>
  </si>
  <si>
    <t>150</t>
  </si>
  <si>
    <t>180M</t>
  </si>
  <si>
    <t>180L</t>
  </si>
  <si>
    <t>200M</t>
  </si>
  <si>
    <t>200L</t>
  </si>
  <si>
    <t>200MA</t>
  </si>
  <si>
    <t>225S</t>
  </si>
  <si>
    <t>225M</t>
  </si>
  <si>
    <t>250SC</t>
  </si>
  <si>
    <t>225MA</t>
  </si>
  <si>
    <t>250MC</t>
  </si>
  <si>
    <t>250MA</t>
  </si>
  <si>
    <t>280SC</t>
  </si>
  <si>
    <t>280SA</t>
  </si>
  <si>
    <t>280MC</t>
  </si>
  <si>
    <t>280MA</t>
  </si>
  <si>
    <t>Ex. Proof</t>
  </si>
  <si>
    <t>Induction motor - Ex. Proof
1 Hp, 0.75 Kw,  3 Phase
 220/380/440v, 60 Hz
4 Pole - 1745 rpm
Foot mounted - 90S  Frame
TECO Brand</t>
  </si>
  <si>
    <t>Induction motor - Ex. Proof
1 Hp, 0.75 Kw,  3 Phase
 220/380/440v, 60 Hz
6 Pole - 1160 rpm
Foot mounted - 90L  Frame
TECO Brand</t>
  </si>
  <si>
    <t>Induction motor - Ex. Proof
1.5 Hp, 1.1 Kw,  3 Phase
 220/380/440v, 60 Hz
2 Pole - 3480 rpm
Foot mounted - 90S  Frame
TECO Brand</t>
  </si>
  <si>
    <t>Induction motor - Ex. Proof
1.5 Hp, 1.1 Kw,  3 Phase
 220/380/440v, 60 Hz
4 Pole - 1735 rpm
Foot mounted - 90L  Frame
TECO Brand</t>
  </si>
  <si>
    <t>Induction motor - Ex. Proof
1.5 Hp, 1.1 Kw,  3 Phase
 220/380/440v, 60 Hz
6 Pole - 1150 rpm
Foot mounted - 112S  Frame
TECO Brand</t>
  </si>
  <si>
    <t>Induction motor - Ex. Proof
2 Hp, 1.5 Kw,  3 Phase
 220/380/440v, 60 Hz
2 Pole - 3460 rpm
Foot mounted - 90L  Frame
TECO Brand</t>
  </si>
  <si>
    <t>Induction motor - Ex. Proof
2 Hp, 1.5 Kw,  3 Phase
 220/380/440v, 60 Hz
4 Pole - 1715 rpm
Foot mounted - 90L  Frame
TECO Brand</t>
  </si>
  <si>
    <t>Induction motor - Ex. Proof
2 Hp, 1.5 Kw,  3 Phase
 220/380/440v, 60 Hz
6 Pole - 1160 rpm
Foot mounted - 112M  Frame
TECO Brand</t>
  </si>
  <si>
    <t>Induction motor - Ex. Proof
3 Hp, 2.2 Kw,  3 Phase
 220/380/440v, 60 Hz
2 Pole - 3420 rpm
Foot mounted - 112M  Frame
TECO Brand</t>
  </si>
  <si>
    <t>Induction motor - Ex. Proof
3 Hp, 2.2 Kw,  3 Phase
 220/380/440v, 60 Hz
4 Pole - 1755 rpm
Foot mounted - 112S  Frame
TECO Brand</t>
  </si>
  <si>
    <t>Induction motor - Ex. Proof
3 Hp, 2.2 Kw,  3 Phase
 220/380/440v, 60 Hz
6 Pole - 1170 rpm
Foot mounted - 132S  Frame
TECO Brand</t>
  </si>
  <si>
    <t>Induction motor - Ex. Proof
5 Hp, 3.75 Kw,  3 Phase
 220/380/440v, 60 Hz
2 Pole - 3450 rpm
Foot mounted - 112M  Frame
TECO Brand</t>
  </si>
  <si>
    <t>Induction motor - Ex. Proof
5 Hp, 3.75 Kw,  3 Phase
 220/380/440v, 60 Hz
4 Pole - 1715 rpm
Foot mounted - 112M  Frame
TECO Brand</t>
  </si>
  <si>
    <t>Induction motor - Ex. Proof
5 Hp, 3.75 Kw,  3 Phase
 220/380/440v, 60 Hz
6 Pole - 1160 rpm
Foot mounted - 132M  Frame
TECO Brand</t>
  </si>
  <si>
    <t>Induction motor - Ex. Proof
7.5 Hp, 5.5 Kw,  3 Phase
 220/380/440v, 60 Hz
2 Pole - 3470 rpm
Foot mounted - 132S  Frame
TECO Brand</t>
  </si>
  <si>
    <t>Induction motor - Ex. Proof
7.5 Hp, 5.5 Kw,  3 Phase
 220/380/440v, 60 Hz
4 Pole - 1745 rpm
Foot mounted - 132S  Frame
TECO Brand</t>
  </si>
  <si>
    <t>Induction motor - Ex. Proof
7.5 Hp, 5.5 Kw,  3 Phase
 220/380/440v, 60 Hz
6 Pole - 1165 rpm
Foot mounted - 160M  Frame
TECO Brand</t>
  </si>
  <si>
    <t>Induction motor - Ex. Proof
10 Hp, 7.5 Kw,  3 Phase
 220/380/440v, 60 Hz
2 Pole - 3470 rpm
Foot mounted - 132M  Frame
TECO Brand</t>
  </si>
  <si>
    <t>Induction motor - Ex. Proof
10 Hp, 7.5 Kw,  3 Phase
 220/380/440v, 60 Hz
4 Pole - 1740 rpm
Foot mounted - 132M  Frame
TECO Brand</t>
  </si>
  <si>
    <t>Induction motor - Ex. Proof
10 Hp, 7.5 Kw,  3 Phase
 220/380/440v, 60 Hz
6 Pole - 1170 rpm
Foot mounted - 160L  Frame
TECO Brand</t>
  </si>
  <si>
    <t>Induction motor - Ex. Proof
15 Hp, 11 Kw,  3 Phase
 220/380/440v, 60 Hz
2 Pole - 3530 rpm
Foot mounted - 160M  Frame
TECO Brand</t>
  </si>
  <si>
    <t>Induction motor - Ex. Proof
15 Hp, 11 Kw,  3 Phase
 220/380/440v, 60 Hz
4 Pole - 1760 rpm
Foot mounted - 160M  Frame
TECO Brand</t>
  </si>
  <si>
    <t>Induction motor - Ex. Proof
15 Hp, 11 Kw,  3 Phase
 220/380/440v, 60 Hz
6 Pole - 1165 rpm
Foot mounted - 180M  Frame
TECO Brand</t>
  </si>
  <si>
    <t>Induction motor - Ex. Proof
20 Hp, 15 Kw,  3 Phase
 220/380/440v, 60 Hz
2 Pole - 3520 rpm
Foot mounted - 160L  Frame
TECO Brand</t>
  </si>
  <si>
    <t>Induction motor - Ex. Proof
20 Hp, 15 Kw,  3 Phase
 220/380/440v, 60 Hz
4 Pole - 1755 rpm
Foot mounted - 160L  Frame
TECO Brand</t>
  </si>
  <si>
    <t>Induction motor - Ex. Proof
20 Hp, 15 Kw,  3 Phase
 220/380/440v, 60 Hz
6 Pole - 1180 rpm
Foot mounted - 180L  Frame
TECO Brand</t>
  </si>
  <si>
    <t>Induction motor - Ex. Proof
25 Hp, 18.5 Kw,  3 Phase
 220/380/440v, 60 Hz
2 Pole - 3520 rpm
Foot mounted - 180MA  Frame
TECO Brand</t>
  </si>
  <si>
    <t>Induction motor - Ex. Proof
25 Hp, 18.5 Kw,  3 Phase
 220/380/440v, 60 Hz
4 Pole - 1760 rpm
Foot mounted - 180M  Frame
TECO Brand</t>
  </si>
  <si>
    <t>Induction motor - Ex. Proof
25 Hp, 18.5 Kw,  3 Phase
 220/380/440v, 60 Hz
6 Pole - 1175 rpm
Foot mounted - 200M  Frame
TECO Brand</t>
  </si>
  <si>
    <t>Induction motor - Ex. Proof
30 Hp, 22 Kw,  3 Phase
 220/380/440v, 60 Hz
2 Pole - 3530 rpm
Foot mounted - 180LA  Frame
TECO Brand</t>
  </si>
  <si>
    <t>Induction motor - Ex. Proof
30 Hp, 22 Kw,  3 Phase
 220/380/440v, 60 Hz
4 Pole - 1750 rpm
Foot mounted - 180L  Frame
TECO Brand</t>
  </si>
  <si>
    <t>Induction motor - Ex. Proof
30 Hp, 22 Kw,  3 Phase
 220/380/440v, 60 Hz
6 Pole - 1170 rpm
Foot mounted - 200L  Frame
TECO Brand</t>
  </si>
  <si>
    <t>Induction motor - Ex. Proof
40 Hp, 30 Kw,  3 Phase
 220/380/440v, 60 Hz
2 Pole - 3550 rpm
Foot mounted - 200MA  Frame
TECO Brand</t>
  </si>
  <si>
    <t>Induction motor - Ex. Proof
40 Hp, 30 Kw,  3 Phase
 220/380/440v, 60 Hz
4 Pole - 1760 rpm
Foot mounted - 200M  Frame
TECO Brand</t>
  </si>
  <si>
    <t>Induction motor - Ex. Proof
40 Hp, 30 Kw,  3 Phase
 220/380/440v, 60 Hz
6 Pole - 1185 rpm
Foot mounted - 225S  Frame
TECO Brand</t>
  </si>
  <si>
    <t>Induction motor - Ex. Proof
50 Hp, 37 Kw,  3 Phase
 220/380/440v, 60 Hz
2 Pole - 3550 rpm
Foot mounted - 200LA  Frame
TECO Brand</t>
  </si>
  <si>
    <t>Induction motor - Ex. Proof
50 Hp, 37 Kw,  3 Phase
 220/380/440v, 60 Hz
4 Pole - 1760 rpm
Foot mounted - 200L  Frame
TECO Brand</t>
  </si>
  <si>
    <t>Induction motor - Ex. Proof
50 Hp, 37 Kw,  3 Phase
 220/380/440v, 60 Hz
6 Pole - 1180 rpm
Foot mounted - 225M  Frame
TECO Brand</t>
  </si>
  <si>
    <t>Induction motor - Ex. Proof
60 Hp, 45 Kw,  3 Phase
 220/380/440v, 60 Hz
2 Pole - 3530 rpm
Foot mounted - 225SA  Frame
TECO Brand</t>
  </si>
  <si>
    <t>Induction motor - Ex. Proof
60 Hp, 45 Kw,  3 Phase
 220/380/440v, 60 Hz
4 Pole - 1765 rpm
Foot mounted - 225S  Frame
TECO Brand</t>
  </si>
  <si>
    <t>Induction motor - Ex. Proof
60 Hp, 45 Kw,  3 Phase
 220/380/440v, 60 Hz
6 Pole - 1170 rpm
Foot mounted - 250SC  Frame
TECO Brand</t>
  </si>
  <si>
    <t>Induction motor - Ex. Proof
75 Hp, 56 Kw,  3 Phase
 220/380/440v, 60 Hz
2 Pole - 3540 rpm
Foot mounted - 225MA  Frame
TECO Brand</t>
  </si>
  <si>
    <t>Induction motor - Ex. Proof
75 Hp, 56 Kw,  3 Phase
 220/380/440v, 60 Hz
4 Pole - 1775 rpm
Foot mounted - 225M  Frame
TECO Brand</t>
  </si>
  <si>
    <t>Induction motor - Ex. Proof
75 Hp, 56 Kw,  3 Phase
 220/380/440v, 60 Hz
6 Pole - 1175 rpm
Foot mounted - 250MC  Frame
TECO Brand</t>
  </si>
  <si>
    <t>Induction motor - Ex. Proof
100 Hp, 75 Kw,  3 Phase
 220/380/440v, 60 Hz
2 Pole - 3550 rpm
Foot mounted - 250MA  Frame
TECO Brand</t>
  </si>
  <si>
    <t>Induction motor - Ex. Proof
100 Hp, 75 Kw,  3 Phase
 220/380/440v, 60 Hz
4 Pole - 1770 rpm
Foot mounted - 250MC  Frame
TECO Brand</t>
  </si>
  <si>
    <t>Induction motor - Ex. Proof
100 Hp, 75 Kw,  3 Phase
 220/380/440v, 60 Hz
6 Pole - 1175 rpm
Foot mounted - 280SC  Frame
TECO Brand</t>
  </si>
  <si>
    <t>Induction motor - Ex. Proof
125 Hp, 93 Kw,  3 Phase
 220/380/440v, 60 Hz
2 Pole - 3555 rpm
Foot mounted - 280SA  Frame
TECO Brand</t>
  </si>
  <si>
    <t>Induction motor - Ex. Proof
125 Hp, 93 Kw,  3 Phase
 220/380/440v, 60 Hz
4 Pole - 1775 rpm
Foot mounted - 280SC  Frame
TECO Brand</t>
  </si>
  <si>
    <t>Induction motor - Ex. Proof
125 Hp, 93 Kw,  3 Phase
 220/380/440v, 60 Hz
6 Pole - 1175 rpm
Foot mounted - 280MC  Frame
TECO Brand</t>
  </si>
  <si>
    <t>Induction motor - Ex. Proof
150 Hp, 112 Kw,  3 Phase
 220/380/440v, 60 Hz
2 Pole - 3555 rpm
Foot mounted - 280MA  Frame
TECO Brand</t>
  </si>
  <si>
    <t>Induction motor - Ex. Proof
150 Hp, 112 Kw,  3 Phase
 220/380/440v, 60 Hz
4 Pole - 1775 rpm
Foot mounted - 280MC  Frame
TECO Brand</t>
  </si>
  <si>
    <t>Induction motor - TEFC
0.25 Hp, 0.18 Kw,  3 Phase
 220/380/440v, 60 Hz
4 Pole - 1715 rpm
Foot mounted - A71  Frame
TECO Brand</t>
  </si>
  <si>
    <t>Induction motor - TEFC
0.5 Hp, 0.37 Kw,  3 Phase
 220/380/440v, 60 Hz
4 Pole - 1740 rpm
Foot mounted - 80  Frame
TECO Brand</t>
  </si>
  <si>
    <t>Induction motor - TEFC
0.75 Hp, 0.55 Kw,  3 Phase
 220/380/440v, 60 Hz
4 Pole - 1750 rpm
Foot mounted - 90S  Frame
TECO Brand</t>
  </si>
  <si>
    <t>Induction motor - TEFC
1 Hp, 0.75 Kw,  3 Phase
 220/380/440v, 60 Hz
4 Pole - 1750 rpm
Foot mounted - 90S  Frame
TECO Brand</t>
  </si>
  <si>
    <t>Induction motor - TEFC
1.5 Hp, 1.1 Kw,  3 Phase
 220/380/440v, 60 Hz
4 Pole - 1750 rpm
Foot mounted - 90L  Frame
TECO Brand</t>
  </si>
  <si>
    <t>Induction motor - TEFC
2 Hp, 1.5 Kw,  3 Phase
 220/380/440v, 60 Hz
4 Pole - 1760 rpm
Foot mounted - 100L  Frame
TECO Brand</t>
  </si>
  <si>
    <t>Induction motor - TEFC
3 Hp, 2.2 Kw,  3 Phase
 220/380/440v, 60 Hz
4 Pole - 1760 rpm
Foot mounted - 112S  Frame
TECO Brand</t>
  </si>
  <si>
    <t>Induction motor - TEFC
5 Hp, 3.7 Kw,  3 Phase
 220/380/440v, 60 Hz
4 Pole - 1750 rpm
Foot mounted - 112M  Frame
TECO Brand</t>
  </si>
  <si>
    <t>TECO - EXPROOF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</si>
</sst>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 x14ac:knownFonts="1">
    <font>
      <sz val="11"/>
      <color theme="1"/>
      <name val="Calibri"/>
      <family val="2"/>
      <scheme val="minor"/>
    </font>
    <font>
      <b/>
      <sz val="16"/>
      <color rgb="FFFFFFFF"/>
      <name val="Segoe UI"/>
    </font>
    <font>
      <i/>
      <sz val="11"/>
      <color rgb="FFFFFFFF"/>
      <name val="Segoe UI"/>
    </font>
    <font>
      <b/>
      <sz val="10"/>
      <color rgb="FFFFFFFF"/>
      <name val="Segoe UI"/>
    </font>
    <font>
      <sz val="10"/>
      <name val="Segoe UI"/>
    </font>
    <font>
      <b/>
      <sz val="20"/>
      <name val="Segoe UI"/>
      <family val="2"/>
    </font>
    <font>
      <sz val="10"/>
      <name val="Segoe UI"/>
      <family val="2"/>
    </font>
    <font>
      <b/>
      <sz val="10"/>
      <color rgb="FFFFFFFF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4A777A"/>
        <bgColor rgb="FF4A777A"/>
      </patternFill>
    </fill>
    <fill>
      <patternFill patternType="solid">
        <fgColor rgb="FFF7F9F9"/>
        <bgColor rgb="FFF7F9F9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485"/>
        <bgColor rgb="FF4A777A"/>
      </patternFill>
    </fill>
    <fill>
      <patternFill patternType="solid">
        <fgColor theme="8" tint="0.79998168889431442"/>
        <bgColor rgb="FFF7F9F9"/>
      </patternFill>
    </fill>
    <fill>
      <patternFill patternType="solid">
        <fgColor theme="6" tint="0.79998168889431442"/>
        <bgColor rgb="FFF7F9F9"/>
      </patternFill>
    </fill>
    <fill>
      <patternFill patternType="solid">
        <fgColor theme="6" tint="0.79998168889431442"/>
        <bgColor rgb="FFFFFFFF"/>
      </patternFill>
    </fill>
  </fills>
  <borders count="7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2" fontId="4" fillId="4" borderId="1" xfId="0" applyNumberFormat="1" applyFont="1" applyFill="1" applyBorder="1" applyAlignment="1">
      <alignment horizontal="right" vertical="center"/>
    </xf>
    <xf numFmtId="3" fontId="4" fillId="4" borderId="1" xfId="0" applyNumberFormat="1" applyFont="1" applyFill="1" applyBorder="1" applyAlignment="1">
      <alignment horizontal="right" vertical="center"/>
    </xf>
    <xf numFmtId="0" fontId="4" fillId="4" borderId="1" xfId="0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right" vertical="center"/>
    </xf>
    <xf numFmtId="165" fontId="4" fillId="4" borderId="1" xfId="0" applyNumberFormat="1" applyFont="1" applyFill="1" applyBorder="1" applyAlignment="1">
      <alignment horizontal="right" vertical="center"/>
    </xf>
    <xf numFmtId="3" fontId="4" fillId="5" borderId="1" xfId="0" applyNumberFormat="1" applyFont="1" applyFill="1" applyBorder="1" applyAlignment="1">
      <alignment horizontal="right" vertical="center"/>
    </xf>
    <xf numFmtId="164" fontId="4" fillId="5" borderId="1" xfId="0" applyNumberFormat="1" applyFont="1" applyFill="1" applyBorder="1" applyAlignment="1">
      <alignment horizontal="right" vertical="center"/>
    </xf>
    <xf numFmtId="165" fontId="4" fillId="5" borderId="1" xfId="0" applyNumberFormat="1" applyFont="1" applyFill="1" applyBorder="1" applyAlignment="1">
      <alignment horizontal="right" vertical="center"/>
    </xf>
    <xf numFmtId="0" fontId="3" fillId="3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2" borderId="0" xfId="0" applyFont="1" applyFill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6" borderId="5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1" fontId="4" fillId="4" borderId="1" xfId="0" applyNumberFormat="1" applyFont="1" applyFill="1" applyBorder="1" applyAlignment="1">
      <alignment horizontal="center" vertical="center"/>
    </xf>
    <xf numFmtId="2" fontId="4" fillId="7" borderId="1" xfId="0" applyNumberFormat="1" applyFont="1" applyFill="1" applyBorder="1" applyAlignment="1">
      <alignment horizontal="right" vertical="center"/>
    </xf>
    <xf numFmtId="3" fontId="4" fillId="7" borderId="1" xfId="0" applyNumberFormat="1" applyFont="1" applyFill="1" applyBorder="1" applyAlignment="1">
      <alignment horizontal="right" vertical="center"/>
    </xf>
    <xf numFmtId="0" fontId="6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1" fontId="4" fillId="7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2" fontId="4" fillId="8" borderId="1" xfId="0" applyNumberFormat="1" applyFont="1" applyFill="1" applyBorder="1" applyAlignment="1">
      <alignment horizontal="right" vertical="center"/>
    </xf>
    <xf numFmtId="3" fontId="4" fillId="8" borderId="1" xfId="0" applyNumberFormat="1" applyFont="1" applyFill="1" applyBorder="1" applyAlignment="1">
      <alignment horizontal="right" vertical="center"/>
    </xf>
    <xf numFmtId="0" fontId="4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 wrapText="1"/>
    </xf>
    <xf numFmtId="2" fontId="4" fillId="9" borderId="1" xfId="0" applyNumberFormat="1" applyFont="1" applyFill="1" applyBorder="1" applyAlignment="1">
      <alignment horizontal="right" vertical="center"/>
    </xf>
    <xf numFmtId="3" fontId="4" fillId="9" borderId="1" xfId="0" applyNumberFormat="1" applyFont="1" applyFill="1" applyBorder="1" applyAlignment="1">
      <alignment horizontal="right" vertical="center"/>
    </xf>
    <xf numFmtId="0" fontId="4" fillId="9" borderId="1" xfId="0" applyFont="1" applyFill="1" applyBorder="1" applyAlignment="1">
      <alignment horizontal="center" vertical="center"/>
    </xf>
    <xf numFmtId="1" fontId="4" fillId="8" borderId="1" xfId="0" applyNumberFormat="1" applyFont="1" applyFill="1" applyBorder="1" applyAlignment="1">
      <alignment horizontal="right" vertical="center"/>
    </xf>
    <xf numFmtId="1" fontId="4" fillId="9" borderId="1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30"/>
  <sheetViews>
    <sheetView tabSelected="1" zoomScale="70" zoomScaleNormal="70" workbookViewId="0">
      <selection activeCell="K7" sqref="K7"/>
    </sheetView>
  </sheetViews>
  <sheetFormatPr defaultRowHeight="15" x14ac:dyDescent="0.25"/>
  <cols>
    <col min="1" max="2" width="8" customWidth="1"/>
    <col min="3" max="6" width="12" customWidth="1"/>
    <col min="7" max="7" width="12.85546875" customWidth="1"/>
    <col min="8" max="8" width="12" customWidth="1"/>
    <col min="9" max="11" width="62.5703125" customWidth="1"/>
    <col min="12" max="19" width="11" hidden="1" customWidth="1"/>
    <col min="20" max="23" width="14" hidden="1" customWidth="1"/>
  </cols>
  <sheetData>
    <row r="1" spans="1:23" ht="39.950000000000003" customHeight="1" x14ac:dyDescent="0.25">
      <c r="A1" s="11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</row>
    <row r="2" spans="1:23" ht="20.100000000000001" customHeight="1" x14ac:dyDescent="0.25">
      <c r="A2" s="13" t="s">
        <v>1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</row>
    <row r="4" spans="1:23" ht="27.95" customHeight="1" x14ac:dyDescent="0.25">
      <c r="A4" s="10" t="s">
        <v>2</v>
      </c>
      <c r="B4" s="10"/>
      <c r="C4" s="10" t="s">
        <v>46</v>
      </c>
      <c r="D4" s="10" t="s">
        <v>3</v>
      </c>
      <c r="E4" s="10" t="s">
        <v>4</v>
      </c>
      <c r="F4" s="10" t="s">
        <v>44</v>
      </c>
      <c r="G4" s="22" t="s">
        <v>180</v>
      </c>
      <c r="H4" s="22" t="s">
        <v>179</v>
      </c>
      <c r="I4" s="14" t="s">
        <v>173</v>
      </c>
      <c r="J4" s="14" t="s">
        <v>47</v>
      </c>
      <c r="K4" s="14" t="s">
        <v>48</v>
      </c>
      <c r="L4" s="10" t="s">
        <v>5</v>
      </c>
      <c r="M4" s="10"/>
      <c r="N4" s="10"/>
      <c r="O4" s="10" t="s">
        <v>6</v>
      </c>
      <c r="P4" s="10"/>
      <c r="Q4" s="10"/>
      <c r="R4" s="10" t="s">
        <v>7</v>
      </c>
      <c r="S4" s="10"/>
      <c r="T4" s="10" t="s">
        <v>8</v>
      </c>
      <c r="U4" s="10"/>
      <c r="V4" s="10"/>
      <c r="W4" s="10" t="s">
        <v>9</v>
      </c>
    </row>
    <row r="5" spans="1:23" ht="38.1" customHeight="1" x14ac:dyDescent="0.25">
      <c r="A5" s="1" t="s">
        <v>10</v>
      </c>
      <c r="B5" s="1" t="s">
        <v>11</v>
      </c>
      <c r="C5" s="10"/>
      <c r="D5" s="10"/>
      <c r="E5" s="10"/>
      <c r="F5" s="10"/>
      <c r="G5" s="10"/>
      <c r="H5" s="10"/>
      <c r="I5" s="15"/>
      <c r="J5" s="15"/>
      <c r="K5" s="15"/>
      <c r="L5" s="1" t="s">
        <v>12</v>
      </c>
      <c r="M5" s="1" t="s">
        <v>13</v>
      </c>
      <c r="N5" s="1" t="s">
        <v>14</v>
      </c>
      <c r="O5" s="1" t="s">
        <v>12</v>
      </c>
      <c r="P5" s="1" t="s">
        <v>13</v>
      </c>
      <c r="Q5" s="1" t="s">
        <v>14</v>
      </c>
      <c r="R5" s="1" t="s">
        <v>12</v>
      </c>
      <c r="S5" s="1" t="s">
        <v>15</v>
      </c>
      <c r="T5" s="1" t="s">
        <v>16</v>
      </c>
      <c r="U5" s="1" t="s">
        <v>17</v>
      </c>
      <c r="V5" s="1" t="s">
        <v>18</v>
      </c>
      <c r="W5" s="10"/>
    </row>
    <row r="6" spans="1:23" ht="38.1" customHeight="1" x14ac:dyDescent="0.25">
      <c r="A6" s="17" t="s">
        <v>273</v>
      </c>
      <c r="B6" s="18"/>
      <c r="C6" s="18"/>
      <c r="D6" s="18"/>
      <c r="E6" s="18"/>
      <c r="F6" s="18"/>
      <c r="G6" s="18"/>
      <c r="H6" s="18"/>
      <c r="I6" s="18"/>
      <c r="J6" s="18"/>
      <c r="K6" s="19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3" ht="99.95" customHeight="1" x14ac:dyDescent="0.25">
      <c r="A7" s="24" t="s">
        <v>181</v>
      </c>
      <c r="B7" s="24">
        <f>A7*0.75</f>
        <v>0.75</v>
      </c>
      <c r="C7" s="25">
        <v>4</v>
      </c>
      <c r="D7" s="25">
        <v>1745</v>
      </c>
      <c r="E7" s="26" t="s">
        <v>177</v>
      </c>
      <c r="F7" s="26" t="s">
        <v>212</v>
      </c>
      <c r="G7" s="27">
        <v>10990</v>
      </c>
      <c r="H7" s="28">
        <f>G7*1.3</f>
        <v>14287</v>
      </c>
      <c r="I7" s="29" t="str">
        <f>"Induction motor"&amp;" - "&amp;F7&amp;CHAR(10)&amp;A7&amp;" Hp, "&amp;B7&amp;" Kw, "&amp;" 3 Phase"&amp;CHAR(10)&amp;" 220/380/440v, 60 Hz"&amp;CHAR(10)&amp;C7&amp;" Pole - "&amp;D7&amp;" rpm"&amp;CHAR(10)&amp;"Foot mounted - "&amp;E7&amp;"  Frame"&amp;CHAR(10)&amp;"TECO Brand"</f>
        <v>Induction motor - Ex. Proof
1 Hp, 0.75 Kw,  3 Phase
 220/380/440v, 60 Hz
4 Pole - 1745 rpm
Foot mounted - 90S  Frame
TECO Brand</v>
      </c>
      <c r="J7" s="30" t="s">
        <v>213</v>
      </c>
      <c r="K7" s="29"/>
      <c r="L7" s="5"/>
      <c r="M7" s="5"/>
      <c r="N7" s="5"/>
      <c r="O7" s="5">
        <v>77</v>
      </c>
      <c r="P7" s="5">
        <v>67.5</v>
      </c>
      <c r="Q7" s="5">
        <v>55.5</v>
      </c>
      <c r="R7" s="5">
        <v>1</v>
      </c>
      <c r="S7" s="3">
        <v>6</v>
      </c>
      <c r="T7" s="6">
        <v>5.3999999999999999E-2</v>
      </c>
      <c r="U7" s="3">
        <v>400</v>
      </c>
      <c r="V7" s="3">
        <v>370</v>
      </c>
      <c r="W7" s="6">
        <v>2E-3</v>
      </c>
    </row>
    <row r="8" spans="1:23" ht="99.95" customHeight="1" x14ac:dyDescent="0.25">
      <c r="A8" s="24" t="s">
        <v>181</v>
      </c>
      <c r="B8" s="24">
        <f t="shared" ref="B8:B53" si="0">A8*0.75</f>
        <v>0.75</v>
      </c>
      <c r="C8" s="25">
        <v>6</v>
      </c>
      <c r="D8" s="25">
        <v>1160</v>
      </c>
      <c r="E8" s="27" t="s">
        <v>21</v>
      </c>
      <c r="F8" s="26" t="s">
        <v>212</v>
      </c>
      <c r="G8" s="27">
        <v>12822</v>
      </c>
      <c r="H8" s="28">
        <f t="shared" ref="H8:H14" si="1">G8*1.3</f>
        <v>16668.600000000002</v>
      </c>
      <c r="I8" s="29" t="str">
        <f t="shared" ref="I8:I58" si="2">"Induction motor"&amp;" - "&amp;F8&amp;CHAR(10)&amp;A8&amp;" Hp, "&amp;B8&amp;" Kw, "&amp;" 3 Phase"&amp;CHAR(10)&amp;" 220/380/440v, 60 Hz"&amp;CHAR(10)&amp;C8&amp;" Pole - "&amp;D8&amp;" rpm"&amp;CHAR(10)&amp;"Foot mounted - "&amp;E8&amp;"  Frame"&amp;CHAR(10)&amp;"TECO Brand"</f>
        <v>Induction motor - Ex. Proof
1 Hp, 0.75 Kw,  3 Phase
 220/380/440v, 60 Hz
6 Pole - 1160 rpm
Foot mounted - 90L  Frame
TECO Brand</v>
      </c>
      <c r="J8" s="29" t="s">
        <v>214</v>
      </c>
      <c r="K8" s="29"/>
      <c r="L8" s="5"/>
      <c r="M8" s="5"/>
      <c r="N8" s="5"/>
      <c r="O8" s="5">
        <v>77</v>
      </c>
      <c r="P8" s="5">
        <v>67.5</v>
      </c>
      <c r="Q8" s="5">
        <v>55.5</v>
      </c>
      <c r="R8" s="5">
        <v>1</v>
      </c>
      <c r="S8" s="3">
        <v>6</v>
      </c>
      <c r="T8" s="6">
        <v>5.3999999999999999E-2</v>
      </c>
      <c r="U8" s="3">
        <v>400</v>
      </c>
      <c r="V8" s="3">
        <v>370</v>
      </c>
      <c r="W8" s="6">
        <v>2E-3</v>
      </c>
    </row>
    <row r="9" spans="1:23" ht="99.95" customHeight="1" x14ac:dyDescent="0.25">
      <c r="A9" s="24">
        <v>1.5</v>
      </c>
      <c r="B9" s="24">
        <v>1.1000000000000001</v>
      </c>
      <c r="C9" s="25">
        <v>2</v>
      </c>
      <c r="D9" s="25">
        <v>3480</v>
      </c>
      <c r="E9" s="26" t="s">
        <v>177</v>
      </c>
      <c r="F9" s="26" t="s">
        <v>212</v>
      </c>
      <c r="G9" s="27">
        <v>15617</v>
      </c>
      <c r="H9" s="28">
        <f t="shared" si="1"/>
        <v>20302.100000000002</v>
      </c>
      <c r="I9" s="29" t="str">
        <f t="shared" si="2"/>
        <v>Induction motor - Ex. Proof
1.5 Hp, 1.1 Kw,  3 Phase
 220/380/440v, 60 Hz
2 Pole - 3480 rpm
Foot mounted - 90S  Frame
TECO Brand</v>
      </c>
      <c r="J9" s="29" t="s">
        <v>215</v>
      </c>
      <c r="K9" s="29"/>
      <c r="L9" s="5"/>
      <c r="M9" s="5"/>
      <c r="N9" s="5"/>
      <c r="O9" s="5">
        <v>77</v>
      </c>
      <c r="P9" s="5">
        <v>67.5</v>
      </c>
      <c r="Q9" s="5">
        <v>55.5</v>
      </c>
      <c r="R9" s="5">
        <v>1</v>
      </c>
      <c r="S9" s="3">
        <v>6</v>
      </c>
      <c r="T9" s="6">
        <v>5.3999999999999999E-2</v>
      </c>
      <c r="U9" s="3">
        <v>400</v>
      </c>
      <c r="V9" s="3">
        <v>370</v>
      </c>
      <c r="W9" s="6">
        <v>2E-3</v>
      </c>
    </row>
    <row r="10" spans="1:23" ht="99.95" customHeight="1" x14ac:dyDescent="0.25">
      <c r="A10" s="24">
        <v>1.5</v>
      </c>
      <c r="B10" s="24">
        <v>1.1000000000000001</v>
      </c>
      <c r="C10" s="25">
        <v>4</v>
      </c>
      <c r="D10" s="25">
        <v>1735</v>
      </c>
      <c r="E10" s="26" t="s">
        <v>21</v>
      </c>
      <c r="F10" s="26" t="s">
        <v>212</v>
      </c>
      <c r="G10" s="27">
        <v>19472</v>
      </c>
      <c r="H10" s="28">
        <f t="shared" si="1"/>
        <v>25313.600000000002</v>
      </c>
      <c r="I10" s="29" t="str">
        <f t="shared" si="2"/>
        <v>Induction motor - Ex. Proof
1.5 Hp, 1.1 Kw,  3 Phase
 220/380/440v, 60 Hz
4 Pole - 1735 rpm
Foot mounted - 90L  Frame
TECO Brand</v>
      </c>
      <c r="J10" s="30" t="s">
        <v>216</v>
      </c>
      <c r="K10" s="29"/>
      <c r="L10" s="5"/>
      <c r="M10" s="5"/>
      <c r="N10" s="5"/>
      <c r="O10" s="5">
        <v>77</v>
      </c>
      <c r="P10" s="5">
        <v>67.5</v>
      </c>
      <c r="Q10" s="5">
        <v>55.5</v>
      </c>
      <c r="R10" s="5">
        <v>1</v>
      </c>
      <c r="S10" s="3">
        <v>6</v>
      </c>
      <c r="T10" s="6">
        <v>5.3999999999999999E-2</v>
      </c>
      <c r="U10" s="3">
        <v>400</v>
      </c>
      <c r="V10" s="3">
        <v>370</v>
      </c>
      <c r="W10" s="6">
        <v>2E-3</v>
      </c>
    </row>
    <row r="11" spans="1:23" ht="99.95" customHeight="1" x14ac:dyDescent="0.25">
      <c r="A11" s="24">
        <v>1.5</v>
      </c>
      <c r="B11" s="24">
        <v>1.1000000000000001</v>
      </c>
      <c r="C11" s="25">
        <v>6</v>
      </c>
      <c r="D11" s="25">
        <v>1150</v>
      </c>
      <c r="E11" s="26" t="s">
        <v>178</v>
      </c>
      <c r="F11" s="26" t="s">
        <v>212</v>
      </c>
      <c r="G11" s="27">
        <v>21015</v>
      </c>
      <c r="H11" s="28">
        <f t="shared" si="1"/>
        <v>27319.5</v>
      </c>
      <c r="I11" s="29" t="str">
        <f t="shared" si="2"/>
        <v>Induction motor - Ex. Proof
1.5 Hp, 1.1 Kw,  3 Phase
 220/380/440v, 60 Hz
6 Pole - 1150 rpm
Foot mounted - 112S  Frame
TECO Brand</v>
      </c>
      <c r="J11" s="30" t="s">
        <v>217</v>
      </c>
      <c r="K11" s="29"/>
      <c r="L11" s="5"/>
      <c r="M11" s="5"/>
      <c r="N11" s="5"/>
      <c r="O11" s="5">
        <v>77</v>
      </c>
      <c r="P11" s="5">
        <v>67.5</v>
      </c>
      <c r="Q11" s="5">
        <v>55.5</v>
      </c>
      <c r="R11" s="5">
        <v>1</v>
      </c>
      <c r="S11" s="3">
        <v>6</v>
      </c>
      <c r="T11" s="6">
        <v>5.3999999999999999E-2</v>
      </c>
      <c r="U11" s="3">
        <v>400</v>
      </c>
      <c r="V11" s="3">
        <v>370</v>
      </c>
      <c r="W11" s="6">
        <v>2E-3</v>
      </c>
    </row>
    <row r="12" spans="1:23" ht="99.95" customHeight="1" x14ac:dyDescent="0.25">
      <c r="A12" s="24" t="s">
        <v>182</v>
      </c>
      <c r="B12" s="24">
        <f t="shared" si="0"/>
        <v>1.5</v>
      </c>
      <c r="C12" s="25">
        <v>2</v>
      </c>
      <c r="D12" s="25">
        <v>3460</v>
      </c>
      <c r="E12" s="26" t="s">
        <v>21</v>
      </c>
      <c r="F12" s="26" t="s">
        <v>212</v>
      </c>
      <c r="G12" s="27">
        <v>24678</v>
      </c>
      <c r="H12" s="28">
        <f t="shared" si="1"/>
        <v>32081.4</v>
      </c>
      <c r="I12" s="29" t="str">
        <f t="shared" si="2"/>
        <v>Induction motor - Ex. Proof
2 Hp, 1.5 Kw,  3 Phase
 220/380/440v, 60 Hz
2 Pole - 3460 rpm
Foot mounted - 90L  Frame
TECO Brand</v>
      </c>
      <c r="J12" s="29" t="s">
        <v>218</v>
      </c>
      <c r="K12" s="29"/>
      <c r="L12" s="5"/>
      <c r="M12" s="5"/>
      <c r="N12" s="5"/>
      <c r="O12" s="5">
        <v>77</v>
      </c>
      <c r="P12" s="5">
        <v>67.5</v>
      </c>
      <c r="Q12" s="5">
        <v>55.5</v>
      </c>
      <c r="R12" s="5">
        <v>1</v>
      </c>
      <c r="S12" s="3">
        <v>6</v>
      </c>
      <c r="T12" s="6">
        <v>5.3999999999999999E-2</v>
      </c>
      <c r="U12" s="3">
        <v>400</v>
      </c>
      <c r="V12" s="3">
        <v>370</v>
      </c>
      <c r="W12" s="6">
        <v>2E-3</v>
      </c>
    </row>
    <row r="13" spans="1:23" ht="99.95" customHeight="1" x14ac:dyDescent="0.25">
      <c r="A13" s="24" t="s">
        <v>182</v>
      </c>
      <c r="B13" s="24">
        <f t="shared" si="0"/>
        <v>1.5</v>
      </c>
      <c r="C13" s="25">
        <v>4</v>
      </c>
      <c r="D13" s="25">
        <v>1715</v>
      </c>
      <c r="E13" s="26" t="s">
        <v>21</v>
      </c>
      <c r="F13" s="26" t="s">
        <v>212</v>
      </c>
      <c r="G13" s="27">
        <v>30656</v>
      </c>
      <c r="H13" s="28">
        <f t="shared" si="1"/>
        <v>39852.800000000003</v>
      </c>
      <c r="I13" s="29" t="str">
        <f t="shared" si="2"/>
        <v>Induction motor - Ex. Proof
2 Hp, 1.5 Kw,  3 Phase
 220/380/440v, 60 Hz
4 Pole - 1715 rpm
Foot mounted - 90L  Frame
TECO Brand</v>
      </c>
      <c r="J13" s="29" t="s">
        <v>219</v>
      </c>
      <c r="K13" s="29"/>
      <c r="L13" s="5"/>
      <c r="M13" s="5"/>
      <c r="N13" s="5"/>
      <c r="O13" s="5">
        <v>77</v>
      </c>
      <c r="P13" s="5">
        <v>67.5</v>
      </c>
      <c r="Q13" s="5">
        <v>55.5</v>
      </c>
      <c r="R13" s="5">
        <v>1</v>
      </c>
      <c r="S13" s="3">
        <v>6</v>
      </c>
      <c r="T13" s="6">
        <v>5.3999999999999999E-2</v>
      </c>
      <c r="U13" s="3">
        <v>400</v>
      </c>
      <c r="V13" s="3">
        <v>370</v>
      </c>
      <c r="W13" s="6">
        <v>2E-3</v>
      </c>
    </row>
    <row r="14" spans="1:23" ht="99.95" customHeight="1" x14ac:dyDescent="0.25">
      <c r="A14" s="24" t="s">
        <v>182</v>
      </c>
      <c r="B14" s="24">
        <f t="shared" si="0"/>
        <v>1.5</v>
      </c>
      <c r="C14" s="25">
        <v>6</v>
      </c>
      <c r="D14" s="25">
        <v>1160</v>
      </c>
      <c r="E14" s="26" t="s">
        <v>23</v>
      </c>
      <c r="F14" s="26" t="s">
        <v>212</v>
      </c>
      <c r="G14" s="27">
        <v>34030</v>
      </c>
      <c r="H14" s="28">
        <f t="shared" si="1"/>
        <v>44239</v>
      </c>
      <c r="I14" s="29" t="str">
        <f t="shared" si="2"/>
        <v>Induction motor - Ex. Proof
2 Hp, 1.5 Kw,  3 Phase
 220/380/440v, 60 Hz
6 Pole - 1160 rpm
Foot mounted - 112M  Frame
TECO Brand</v>
      </c>
      <c r="J14" s="29" t="s">
        <v>220</v>
      </c>
      <c r="K14" s="29"/>
      <c r="L14" s="5"/>
      <c r="M14" s="5"/>
      <c r="N14" s="5"/>
      <c r="O14" s="5">
        <v>77</v>
      </c>
      <c r="P14" s="5">
        <v>67.5</v>
      </c>
      <c r="Q14" s="5">
        <v>55.5</v>
      </c>
      <c r="R14" s="5">
        <v>1</v>
      </c>
      <c r="S14" s="3">
        <v>6</v>
      </c>
      <c r="T14" s="6">
        <v>5.3999999999999999E-2</v>
      </c>
      <c r="U14" s="3">
        <v>400</v>
      </c>
      <c r="V14" s="3">
        <v>370</v>
      </c>
      <c r="W14" s="6">
        <v>2E-3</v>
      </c>
    </row>
    <row r="15" spans="1:23" ht="99.95" customHeight="1" x14ac:dyDescent="0.25">
      <c r="A15" s="24" t="s">
        <v>183</v>
      </c>
      <c r="B15" s="24">
        <v>2.2000000000000002</v>
      </c>
      <c r="C15" s="25">
        <v>2</v>
      </c>
      <c r="D15" s="25">
        <v>3420</v>
      </c>
      <c r="E15" s="26" t="s">
        <v>23</v>
      </c>
      <c r="F15" s="26" t="s">
        <v>212</v>
      </c>
      <c r="G15" s="27">
        <v>10990</v>
      </c>
      <c r="H15" s="28">
        <f>G15*1.3</f>
        <v>14287</v>
      </c>
      <c r="I15" s="29" t="str">
        <f t="shared" si="2"/>
        <v>Induction motor - Ex. Proof
3 Hp, 2.2 Kw,  3 Phase
 220/380/440v, 60 Hz
2 Pole - 3420 rpm
Foot mounted - 112M  Frame
TECO Brand</v>
      </c>
      <c r="J15" s="30" t="s">
        <v>221</v>
      </c>
      <c r="K15" s="29"/>
      <c r="L15" s="5"/>
      <c r="M15" s="5"/>
      <c r="N15" s="5"/>
      <c r="O15" s="5">
        <v>77</v>
      </c>
      <c r="P15" s="5">
        <v>67.5</v>
      </c>
      <c r="Q15" s="5">
        <v>55.5</v>
      </c>
      <c r="R15" s="5">
        <v>1</v>
      </c>
      <c r="S15" s="3">
        <v>6</v>
      </c>
      <c r="T15" s="6">
        <v>5.3999999999999999E-2</v>
      </c>
      <c r="U15" s="3">
        <v>400</v>
      </c>
      <c r="V15" s="3">
        <v>370</v>
      </c>
      <c r="W15" s="6">
        <v>2E-3</v>
      </c>
    </row>
    <row r="16" spans="1:23" ht="99.95" customHeight="1" x14ac:dyDescent="0.25">
      <c r="A16" s="24" t="s">
        <v>183</v>
      </c>
      <c r="B16" s="24">
        <v>2.2000000000000002</v>
      </c>
      <c r="C16" s="25">
        <v>4</v>
      </c>
      <c r="D16" s="25">
        <v>1755</v>
      </c>
      <c r="E16" s="26" t="s">
        <v>178</v>
      </c>
      <c r="F16" s="26" t="s">
        <v>212</v>
      </c>
      <c r="G16" s="27">
        <v>10990</v>
      </c>
      <c r="H16" s="28">
        <f>G16*1.3</f>
        <v>14287</v>
      </c>
      <c r="I16" s="29" t="str">
        <f t="shared" si="2"/>
        <v>Induction motor - Ex. Proof
3 Hp, 2.2 Kw,  3 Phase
 220/380/440v, 60 Hz
4 Pole - 1755 rpm
Foot mounted - 112S  Frame
TECO Brand</v>
      </c>
      <c r="J16" s="30" t="s">
        <v>222</v>
      </c>
      <c r="K16" s="29"/>
      <c r="L16" s="5"/>
      <c r="M16" s="5"/>
      <c r="N16" s="5"/>
      <c r="O16" s="5">
        <v>77</v>
      </c>
      <c r="P16" s="5">
        <v>67.5</v>
      </c>
      <c r="Q16" s="5">
        <v>55.5</v>
      </c>
      <c r="R16" s="5">
        <v>1</v>
      </c>
      <c r="S16" s="3">
        <v>6</v>
      </c>
      <c r="T16" s="6">
        <v>5.3999999999999999E-2</v>
      </c>
      <c r="U16" s="3">
        <v>400</v>
      </c>
      <c r="V16" s="3">
        <v>370</v>
      </c>
      <c r="W16" s="6">
        <v>2E-3</v>
      </c>
    </row>
    <row r="17" spans="1:23" ht="99.95" customHeight="1" x14ac:dyDescent="0.25">
      <c r="A17" s="24" t="s">
        <v>183</v>
      </c>
      <c r="B17" s="24">
        <v>2.2000000000000002</v>
      </c>
      <c r="C17" s="25">
        <v>6</v>
      </c>
      <c r="D17" s="25">
        <v>1170</v>
      </c>
      <c r="E17" s="27" t="s">
        <v>24</v>
      </c>
      <c r="F17" s="26" t="s">
        <v>212</v>
      </c>
      <c r="G17" s="27">
        <v>12822</v>
      </c>
      <c r="H17" s="28">
        <f t="shared" ref="H17:H23" si="3">G17*1.3</f>
        <v>16668.600000000002</v>
      </c>
      <c r="I17" s="29" t="str">
        <f t="shared" si="2"/>
        <v>Induction motor - Ex. Proof
3 Hp, 2.2 Kw,  3 Phase
 220/380/440v, 60 Hz
6 Pole - 1170 rpm
Foot mounted - 132S  Frame
TECO Brand</v>
      </c>
      <c r="J17" s="29" t="s">
        <v>223</v>
      </c>
      <c r="K17" s="29"/>
      <c r="L17" s="5"/>
      <c r="M17" s="5"/>
      <c r="N17" s="5"/>
      <c r="O17" s="5">
        <v>77</v>
      </c>
      <c r="P17" s="5">
        <v>67.5</v>
      </c>
      <c r="Q17" s="5">
        <v>55.5</v>
      </c>
      <c r="R17" s="5">
        <v>1</v>
      </c>
      <c r="S17" s="3">
        <v>6</v>
      </c>
      <c r="T17" s="6">
        <v>5.3999999999999999E-2</v>
      </c>
      <c r="U17" s="3">
        <v>400</v>
      </c>
      <c r="V17" s="3">
        <v>370</v>
      </c>
      <c r="W17" s="6">
        <v>2E-3</v>
      </c>
    </row>
    <row r="18" spans="1:23" ht="99.95" customHeight="1" x14ac:dyDescent="0.25">
      <c r="A18" s="24" t="s">
        <v>184</v>
      </c>
      <c r="B18" s="24">
        <v>3.75</v>
      </c>
      <c r="C18" s="25">
        <v>2</v>
      </c>
      <c r="D18" s="25">
        <v>3450</v>
      </c>
      <c r="E18" s="26" t="s">
        <v>23</v>
      </c>
      <c r="F18" s="26" t="s">
        <v>212</v>
      </c>
      <c r="G18" s="27">
        <v>15617</v>
      </c>
      <c r="H18" s="28">
        <f t="shared" si="3"/>
        <v>20302.100000000002</v>
      </c>
      <c r="I18" s="29" t="str">
        <f t="shared" si="2"/>
        <v>Induction motor - Ex. Proof
5 Hp, 3.75 Kw,  3 Phase
 220/380/440v, 60 Hz
2 Pole - 3450 rpm
Foot mounted - 112M  Frame
TECO Brand</v>
      </c>
      <c r="J18" s="29" t="s">
        <v>224</v>
      </c>
      <c r="K18" s="29"/>
      <c r="L18" s="5"/>
      <c r="M18" s="5"/>
      <c r="N18" s="5"/>
      <c r="O18" s="5">
        <v>77</v>
      </c>
      <c r="P18" s="5">
        <v>67.5</v>
      </c>
      <c r="Q18" s="5">
        <v>55.5</v>
      </c>
      <c r="R18" s="5">
        <v>1</v>
      </c>
      <c r="S18" s="3">
        <v>6</v>
      </c>
      <c r="T18" s="6">
        <v>5.3999999999999999E-2</v>
      </c>
      <c r="U18" s="3">
        <v>400</v>
      </c>
      <c r="V18" s="3">
        <v>370</v>
      </c>
      <c r="W18" s="6">
        <v>2E-3</v>
      </c>
    </row>
    <row r="19" spans="1:23" ht="99.95" customHeight="1" x14ac:dyDescent="0.25">
      <c r="A19" s="24" t="s">
        <v>184</v>
      </c>
      <c r="B19" s="24">
        <f t="shared" si="0"/>
        <v>3.75</v>
      </c>
      <c r="C19" s="25">
        <v>4</v>
      </c>
      <c r="D19" s="25">
        <v>1715</v>
      </c>
      <c r="E19" s="26" t="s">
        <v>23</v>
      </c>
      <c r="F19" s="26" t="s">
        <v>212</v>
      </c>
      <c r="G19" s="27">
        <v>19472</v>
      </c>
      <c r="H19" s="28">
        <f t="shared" si="3"/>
        <v>25313.600000000002</v>
      </c>
      <c r="I19" s="29" t="str">
        <f t="shared" si="2"/>
        <v>Induction motor - Ex. Proof
5 Hp, 3.75 Kw,  3 Phase
 220/380/440v, 60 Hz
4 Pole - 1715 rpm
Foot mounted - 112M  Frame
TECO Brand</v>
      </c>
      <c r="J19" s="30" t="s">
        <v>225</v>
      </c>
      <c r="K19" s="29"/>
      <c r="L19" s="5"/>
      <c r="M19" s="5"/>
      <c r="N19" s="5"/>
      <c r="O19" s="5">
        <v>77</v>
      </c>
      <c r="P19" s="5">
        <v>67.5</v>
      </c>
      <c r="Q19" s="5">
        <v>55.5</v>
      </c>
      <c r="R19" s="5">
        <v>1</v>
      </c>
      <c r="S19" s="3">
        <v>6</v>
      </c>
      <c r="T19" s="6">
        <v>5.3999999999999999E-2</v>
      </c>
      <c r="U19" s="3">
        <v>400</v>
      </c>
      <c r="V19" s="3">
        <v>370</v>
      </c>
      <c r="W19" s="6">
        <v>2E-3</v>
      </c>
    </row>
    <row r="20" spans="1:23" ht="99.95" customHeight="1" x14ac:dyDescent="0.25">
      <c r="A20" s="24" t="s">
        <v>184</v>
      </c>
      <c r="B20" s="24">
        <f t="shared" si="0"/>
        <v>3.75</v>
      </c>
      <c r="C20" s="25">
        <v>6</v>
      </c>
      <c r="D20" s="25">
        <v>1160</v>
      </c>
      <c r="E20" s="26" t="s">
        <v>25</v>
      </c>
      <c r="F20" s="26" t="s">
        <v>212</v>
      </c>
      <c r="G20" s="27">
        <v>21015</v>
      </c>
      <c r="H20" s="28">
        <f t="shared" si="3"/>
        <v>27319.5</v>
      </c>
      <c r="I20" s="29" t="str">
        <f t="shared" si="2"/>
        <v>Induction motor - Ex. Proof
5 Hp, 3.75 Kw,  3 Phase
 220/380/440v, 60 Hz
6 Pole - 1160 rpm
Foot mounted - 132M  Frame
TECO Brand</v>
      </c>
      <c r="J20" s="30" t="s">
        <v>226</v>
      </c>
      <c r="K20" s="29"/>
      <c r="L20" s="5"/>
      <c r="M20" s="5"/>
      <c r="N20" s="5"/>
      <c r="O20" s="5">
        <v>77</v>
      </c>
      <c r="P20" s="5">
        <v>67.5</v>
      </c>
      <c r="Q20" s="5">
        <v>55.5</v>
      </c>
      <c r="R20" s="5">
        <v>1</v>
      </c>
      <c r="S20" s="3">
        <v>6</v>
      </c>
      <c r="T20" s="6">
        <v>5.3999999999999999E-2</v>
      </c>
      <c r="U20" s="3">
        <v>400</v>
      </c>
      <c r="V20" s="3">
        <v>370</v>
      </c>
      <c r="W20" s="6">
        <v>2E-3</v>
      </c>
    </row>
    <row r="21" spans="1:23" ht="99.95" customHeight="1" x14ac:dyDescent="0.25">
      <c r="A21" s="24">
        <v>7.5</v>
      </c>
      <c r="B21" s="24">
        <v>5.5</v>
      </c>
      <c r="C21" s="25">
        <v>2</v>
      </c>
      <c r="D21" s="25">
        <v>3470</v>
      </c>
      <c r="E21" s="26" t="s">
        <v>24</v>
      </c>
      <c r="F21" s="26" t="s">
        <v>212</v>
      </c>
      <c r="G21" s="27">
        <v>24678</v>
      </c>
      <c r="H21" s="28">
        <f t="shared" si="3"/>
        <v>32081.4</v>
      </c>
      <c r="I21" s="29" t="str">
        <f t="shared" si="2"/>
        <v>Induction motor - Ex. Proof
7.5 Hp, 5.5 Kw,  3 Phase
 220/380/440v, 60 Hz
2 Pole - 3470 rpm
Foot mounted - 132S  Frame
TECO Brand</v>
      </c>
      <c r="J21" s="29" t="s">
        <v>227</v>
      </c>
      <c r="K21" s="29"/>
      <c r="L21" s="5"/>
      <c r="M21" s="5"/>
      <c r="N21" s="5"/>
      <c r="O21" s="5">
        <v>77</v>
      </c>
      <c r="P21" s="5">
        <v>67.5</v>
      </c>
      <c r="Q21" s="5">
        <v>55.5</v>
      </c>
      <c r="R21" s="5">
        <v>1</v>
      </c>
      <c r="S21" s="3">
        <v>6</v>
      </c>
      <c r="T21" s="6">
        <v>5.3999999999999999E-2</v>
      </c>
      <c r="U21" s="3">
        <v>400</v>
      </c>
      <c r="V21" s="3">
        <v>370</v>
      </c>
      <c r="W21" s="6">
        <v>2E-3</v>
      </c>
    </row>
    <row r="22" spans="1:23" ht="99.95" customHeight="1" x14ac:dyDescent="0.25">
      <c r="A22" s="24">
        <v>7.5</v>
      </c>
      <c r="B22" s="24">
        <v>5.5</v>
      </c>
      <c r="C22" s="25">
        <v>4</v>
      </c>
      <c r="D22" s="25">
        <v>1745</v>
      </c>
      <c r="E22" s="26" t="s">
        <v>24</v>
      </c>
      <c r="F22" s="26" t="s">
        <v>212</v>
      </c>
      <c r="G22" s="27">
        <v>30656</v>
      </c>
      <c r="H22" s="28">
        <f t="shared" si="3"/>
        <v>39852.800000000003</v>
      </c>
      <c r="I22" s="29" t="str">
        <f t="shared" si="2"/>
        <v>Induction motor - Ex. Proof
7.5 Hp, 5.5 Kw,  3 Phase
 220/380/440v, 60 Hz
4 Pole - 1745 rpm
Foot mounted - 132S  Frame
TECO Brand</v>
      </c>
      <c r="J22" s="29" t="s">
        <v>228</v>
      </c>
      <c r="K22" s="29"/>
      <c r="L22" s="5"/>
      <c r="M22" s="5"/>
      <c r="N22" s="5"/>
      <c r="O22" s="5">
        <v>77</v>
      </c>
      <c r="P22" s="5">
        <v>67.5</v>
      </c>
      <c r="Q22" s="5">
        <v>55.5</v>
      </c>
      <c r="R22" s="5">
        <v>1</v>
      </c>
      <c r="S22" s="3">
        <v>6</v>
      </c>
      <c r="T22" s="6">
        <v>5.3999999999999999E-2</v>
      </c>
      <c r="U22" s="3">
        <v>400</v>
      </c>
      <c r="V22" s="3">
        <v>370</v>
      </c>
      <c r="W22" s="6">
        <v>2E-3</v>
      </c>
    </row>
    <row r="23" spans="1:23" ht="99.95" customHeight="1" x14ac:dyDescent="0.25">
      <c r="A23" s="24">
        <v>7.5</v>
      </c>
      <c r="B23" s="24">
        <v>5.5</v>
      </c>
      <c r="C23" s="25">
        <v>6</v>
      </c>
      <c r="D23" s="25">
        <v>1165</v>
      </c>
      <c r="E23" s="26" t="s">
        <v>26</v>
      </c>
      <c r="F23" s="26" t="s">
        <v>212</v>
      </c>
      <c r="G23" s="27">
        <v>34030</v>
      </c>
      <c r="H23" s="28">
        <f t="shared" si="3"/>
        <v>44239</v>
      </c>
      <c r="I23" s="29" t="str">
        <f t="shared" si="2"/>
        <v>Induction motor - Ex. Proof
7.5 Hp, 5.5 Kw,  3 Phase
 220/380/440v, 60 Hz
6 Pole - 1165 rpm
Foot mounted - 160M  Frame
TECO Brand</v>
      </c>
      <c r="J23" s="29" t="s">
        <v>229</v>
      </c>
      <c r="K23" s="29"/>
      <c r="L23" s="5"/>
      <c r="M23" s="5"/>
      <c r="N23" s="5"/>
      <c r="O23" s="5">
        <v>77</v>
      </c>
      <c r="P23" s="5">
        <v>67.5</v>
      </c>
      <c r="Q23" s="5">
        <v>55.5</v>
      </c>
      <c r="R23" s="5">
        <v>1</v>
      </c>
      <c r="S23" s="3">
        <v>6</v>
      </c>
      <c r="T23" s="6">
        <v>5.3999999999999999E-2</v>
      </c>
      <c r="U23" s="3">
        <v>400</v>
      </c>
      <c r="V23" s="3">
        <v>370</v>
      </c>
      <c r="W23" s="6">
        <v>2E-3</v>
      </c>
    </row>
    <row r="24" spans="1:23" ht="99.95" customHeight="1" x14ac:dyDescent="0.25">
      <c r="A24" s="24" t="s">
        <v>185</v>
      </c>
      <c r="B24" s="24">
        <f t="shared" si="0"/>
        <v>7.5</v>
      </c>
      <c r="C24" s="25">
        <v>2</v>
      </c>
      <c r="D24" s="25">
        <v>3470</v>
      </c>
      <c r="E24" s="26" t="s">
        <v>25</v>
      </c>
      <c r="F24" s="26" t="s">
        <v>212</v>
      </c>
      <c r="G24" s="27">
        <v>10990</v>
      </c>
      <c r="H24" s="28">
        <f>G24*1.3</f>
        <v>14287</v>
      </c>
      <c r="I24" s="29" t="str">
        <f t="shared" si="2"/>
        <v>Induction motor - Ex. Proof
10 Hp, 7.5 Kw,  3 Phase
 220/380/440v, 60 Hz
2 Pole - 3470 rpm
Foot mounted - 132M  Frame
TECO Brand</v>
      </c>
      <c r="J24" s="30" t="s">
        <v>230</v>
      </c>
      <c r="K24" s="29"/>
      <c r="L24" s="5"/>
      <c r="M24" s="5"/>
      <c r="N24" s="5"/>
      <c r="O24" s="5">
        <v>77</v>
      </c>
      <c r="P24" s="5">
        <v>67.5</v>
      </c>
      <c r="Q24" s="5">
        <v>55.5</v>
      </c>
      <c r="R24" s="5">
        <v>1</v>
      </c>
      <c r="S24" s="3">
        <v>6</v>
      </c>
      <c r="T24" s="6">
        <v>5.3999999999999999E-2</v>
      </c>
      <c r="U24" s="3">
        <v>400</v>
      </c>
      <c r="V24" s="3">
        <v>370</v>
      </c>
      <c r="W24" s="6">
        <v>2E-3</v>
      </c>
    </row>
    <row r="25" spans="1:23" ht="99.95" customHeight="1" x14ac:dyDescent="0.25">
      <c r="A25" s="24" t="s">
        <v>185</v>
      </c>
      <c r="B25" s="24">
        <f t="shared" si="0"/>
        <v>7.5</v>
      </c>
      <c r="C25" s="25">
        <v>4</v>
      </c>
      <c r="D25" s="25">
        <v>1740</v>
      </c>
      <c r="E25" s="26" t="s">
        <v>25</v>
      </c>
      <c r="F25" s="26" t="s">
        <v>212</v>
      </c>
      <c r="G25" s="27">
        <v>10990</v>
      </c>
      <c r="H25" s="28">
        <f>G25*1.3</f>
        <v>14287</v>
      </c>
      <c r="I25" s="29" t="str">
        <f t="shared" si="2"/>
        <v>Induction motor - Ex. Proof
10 Hp, 7.5 Kw,  3 Phase
 220/380/440v, 60 Hz
4 Pole - 1740 rpm
Foot mounted - 132M  Frame
TECO Brand</v>
      </c>
      <c r="J25" s="30" t="s">
        <v>231</v>
      </c>
      <c r="K25" s="29"/>
      <c r="L25" s="5"/>
      <c r="M25" s="5"/>
      <c r="N25" s="5"/>
      <c r="O25" s="5">
        <v>77</v>
      </c>
      <c r="P25" s="5">
        <v>67.5</v>
      </c>
      <c r="Q25" s="5">
        <v>55.5</v>
      </c>
      <c r="R25" s="5">
        <v>1</v>
      </c>
      <c r="S25" s="3">
        <v>6</v>
      </c>
      <c r="T25" s="6">
        <v>5.3999999999999999E-2</v>
      </c>
      <c r="U25" s="3">
        <v>400</v>
      </c>
      <c r="V25" s="3">
        <v>370</v>
      </c>
      <c r="W25" s="6">
        <v>2E-3</v>
      </c>
    </row>
    <row r="26" spans="1:23" ht="99.95" customHeight="1" x14ac:dyDescent="0.25">
      <c r="A26" s="24" t="s">
        <v>185</v>
      </c>
      <c r="B26" s="24">
        <f t="shared" si="0"/>
        <v>7.5</v>
      </c>
      <c r="C26" s="25">
        <v>6</v>
      </c>
      <c r="D26" s="25">
        <v>1170</v>
      </c>
      <c r="E26" s="27" t="s">
        <v>27</v>
      </c>
      <c r="F26" s="26" t="s">
        <v>212</v>
      </c>
      <c r="G26" s="27">
        <v>12822</v>
      </c>
      <c r="H26" s="28">
        <f t="shared" ref="H26:H32" si="4">G26*1.3</f>
        <v>16668.600000000002</v>
      </c>
      <c r="I26" s="29" t="str">
        <f t="shared" si="2"/>
        <v>Induction motor - Ex. Proof
10 Hp, 7.5 Kw,  3 Phase
 220/380/440v, 60 Hz
6 Pole - 1170 rpm
Foot mounted - 160L  Frame
TECO Brand</v>
      </c>
      <c r="J26" s="29" t="s">
        <v>232</v>
      </c>
      <c r="K26" s="29"/>
      <c r="L26" s="5"/>
      <c r="M26" s="5"/>
      <c r="N26" s="5"/>
      <c r="O26" s="5">
        <v>77</v>
      </c>
      <c r="P26" s="5">
        <v>67.5</v>
      </c>
      <c r="Q26" s="5">
        <v>55.5</v>
      </c>
      <c r="R26" s="5">
        <v>1</v>
      </c>
      <c r="S26" s="3">
        <v>6</v>
      </c>
      <c r="T26" s="6">
        <v>5.3999999999999999E-2</v>
      </c>
      <c r="U26" s="3">
        <v>400</v>
      </c>
      <c r="V26" s="3">
        <v>370</v>
      </c>
      <c r="W26" s="6">
        <v>2E-3</v>
      </c>
    </row>
    <row r="27" spans="1:23" ht="99.95" customHeight="1" x14ac:dyDescent="0.25">
      <c r="A27" s="24" t="s">
        <v>186</v>
      </c>
      <c r="B27" s="24">
        <v>11</v>
      </c>
      <c r="C27" s="25">
        <v>2</v>
      </c>
      <c r="D27" s="25">
        <v>3530</v>
      </c>
      <c r="E27" s="26" t="s">
        <v>26</v>
      </c>
      <c r="F27" s="26" t="s">
        <v>212</v>
      </c>
      <c r="G27" s="27">
        <v>15617</v>
      </c>
      <c r="H27" s="28">
        <f t="shared" si="4"/>
        <v>20302.100000000002</v>
      </c>
      <c r="I27" s="29" t="str">
        <f t="shared" si="2"/>
        <v>Induction motor - Ex. Proof
15 Hp, 11 Kw,  3 Phase
 220/380/440v, 60 Hz
2 Pole - 3530 rpm
Foot mounted - 160M  Frame
TECO Brand</v>
      </c>
      <c r="J27" s="29" t="s">
        <v>233</v>
      </c>
      <c r="K27" s="29"/>
      <c r="L27" s="5"/>
      <c r="M27" s="5"/>
      <c r="N27" s="5"/>
      <c r="O27" s="5">
        <v>77</v>
      </c>
      <c r="P27" s="5">
        <v>67.5</v>
      </c>
      <c r="Q27" s="5">
        <v>55.5</v>
      </c>
      <c r="R27" s="5">
        <v>1</v>
      </c>
      <c r="S27" s="3">
        <v>6</v>
      </c>
      <c r="T27" s="6">
        <v>5.3999999999999999E-2</v>
      </c>
      <c r="U27" s="3">
        <v>400</v>
      </c>
      <c r="V27" s="3">
        <v>370</v>
      </c>
      <c r="W27" s="6">
        <v>2E-3</v>
      </c>
    </row>
    <row r="28" spans="1:23" ht="99.95" customHeight="1" x14ac:dyDescent="0.25">
      <c r="A28" s="24" t="s">
        <v>186</v>
      </c>
      <c r="B28" s="24">
        <v>11</v>
      </c>
      <c r="C28" s="25">
        <v>4</v>
      </c>
      <c r="D28" s="25">
        <v>1760</v>
      </c>
      <c r="E28" s="26" t="s">
        <v>26</v>
      </c>
      <c r="F28" s="26" t="s">
        <v>212</v>
      </c>
      <c r="G28" s="27">
        <v>19472</v>
      </c>
      <c r="H28" s="28">
        <f t="shared" si="4"/>
        <v>25313.600000000002</v>
      </c>
      <c r="I28" s="29" t="str">
        <f t="shared" si="2"/>
        <v>Induction motor - Ex. Proof
15 Hp, 11 Kw,  3 Phase
 220/380/440v, 60 Hz
4 Pole - 1760 rpm
Foot mounted - 160M  Frame
TECO Brand</v>
      </c>
      <c r="J28" s="30" t="s">
        <v>234</v>
      </c>
      <c r="K28" s="29"/>
      <c r="L28" s="5"/>
      <c r="M28" s="5"/>
      <c r="N28" s="5"/>
      <c r="O28" s="5">
        <v>77</v>
      </c>
      <c r="P28" s="5">
        <v>67.5</v>
      </c>
      <c r="Q28" s="5">
        <v>55.5</v>
      </c>
      <c r="R28" s="5">
        <v>1</v>
      </c>
      <c r="S28" s="3">
        <v>6</v>
      </c>
      <c r="T28" s="6">
        <v>5.3999999999999999E-2</v>
      </c>
      <c r="U28" s="3">
        <v>400</v>
      </c>
      <c r="V28" s="3">
        <v>370</v>
      </c>
      <c r="W28" s="6">
        <v>2E-3</v>
      </c>
    </row>
    <row r="29" spans="1:23" ht="99.95" customHeight="1" x14ac:dyDescent="0.25">
      <c r="A29" s="24" t="s">
        <v>186</v>
      </c>
      <c r="B29" s="24">
        <v>11</v>
      </c>
      <c r="C29" s="25">
        <v>6</v>
      </c>
      <c r="D29" s="25">
        <v>1165</v>
      </c>
      <c r="E29" s="26" t="s">
        <v>197</v>
      </c>
      <c r="F29" s="26" t="s">
        <v>212</v>
      </c>
      <c r="G29" s="27">
        <v>21015</v>
      </c>
      <c r="H29" s="28">
        <f t="shared" si="4"/>
        <v>27319.5</v>
      </c>
      <c r="I29" s="29" t="str">
        <f t="shared" si="2"/>
        <v>Induction motor - Ex. Proof
15 Hp, 11 Kw,  3 Phase
 220/380/440v, 60 Hz
6 Pole - 1165 rpm
Foot mounted - 180M  Frame
TECO Brand</v>
      </c>
      <c r="J29" s="30" t="s">
        <v>235</v>
      </c>
      <c r="K29" s="29"/>
      <c r="L29" s="5"/>
      <c r="M29" s="5"/>
      <c r="N29" s="5"/>
      <c r="O29" s="5">
        <v>77</v>
      </c>
      <c r="P29" s="5">
        <v>67.5</v>
      </c>
      <c r="Q29" s="5">
        <v>55.5</v>
      </c>
      <c r="R29" s="5">
        <v>1</v>
      </c>
      <c r="S29" s="3">
        <v>6</v>
      </c>
      <c r="T29" s="6">
        <v>5.3999999999999999E-2</v>
      </c>
      <c r="U29" s="3">
        <v>400</v>
      </c>
      <c r="V29" s="3">
        <v>370</v>
      </c>
      <c r="W29" s="6">
        <v>2E-3</v>
      </c>
    </row>
    <row r="30" spans="1:23" ht="99.95" customHeight="1" x14ac:dyDescent="0.25">
      <c r="A30" s="24" t="s">
        <v>187</v>
      </c>
      <c r="B30" s="24">
        <f t="shared" si="0"/>
        <v>15</v>
      </c>
      <c r="C30" s="25">
        <v>2</v>
      </c>
      <c r="D30" s="25">
        <v>3520</v>
      </c>
      <c r="E30" s="26" t="s">
        <v>27</v>
      </c>
      <c r="F30" s="26" t="s">
        <v>212</v>
      </c>
      <c r="G30" s="27">
        <v>24678</v>
      </c>
      <c r="H30" s="28">
        <f t="shared" si="4"/>
        <v>32081.4</v>
      </c>
      <c r="I30" s="29" t="str">
        <f t="shared" si="2"/>
        <v>Induction motor - Ex. Proof
20 Hp, 15 Kw,  3 Phase
 220/380/440v, 60 Hz
2 Pole - 3520 rpm
Foot mounted - 160L  Frame
TECO Brand</v>
      </c>
      <c r="J30" s="29" t="s">
        <v>236</v>
      </c>
      <c r="K30" s="29"/>
      <c r="L30" s="5"/>
      <c r="M30" s="5"/>
      <c r="N30" s="5"/>
      <c r="O30" s="5">
        <v>77</v>
      </c>
      <c r="P30" s="5">
        <v>67.5</v>
      </c>
      <c r="Q30" s="5">
        <v>55.5</v>
      </c>
      <c r="R30" s="5">
        <v>1</v>
      </c>
      <c r="S30" s="3">
        <v>6</v>
      </c>
      <c r="T30" s="6">
        <v>5.3999999999999999E-2</v>
      </c>
      <c r="U30" s="3">
        <v>400</v>
      </c>
      <c r="V30" s="3">
        <v>370</v>
      </c>
      <c r="W30" s="6">
        <v>2E-3</v>
      </c>
    </row>
    <row r="31" spans="1:23" ht="99.95" customHeight="1" x14ac:dyDescent="0.25">
      <c r="A31" s="24" t="s">
        <v>187</v>
      </c>
      <c r="B31" s="24">
        <f t="shared" si="0"/>
        <v>15</v>
      </c>
      <c r="C31" s="25">
        <v>4</v>
      </c>
      <c r="D31" s="25">
        <v>1755</v>
      </c>
      <c r="E31" s="26" t="s">
        <v>27</v>
      </c>
      <c r="F31" s="26" t="s">
        <v>212</v>
      </c>
      <c r="G31" s="27">
        <v>30656</v>
      </c>
      <c r="H31" s="28">
        <f t="shared" si="4"/>
        <v>39852.800000000003</v>
      </c>
      <c r="I31" s="29" t="str">
        <f t="shared" si="2"/>
        <v>Induction motor - Ex. Proof
20 Hp, 15 Kw,  3 Phase
 220/380/440v, 60 Hz
4 Pole - 1755 rpm
Foot mounted - 160L  Frame
TECO Brand</v>
      </c>
      <c r="J31" s="29" t="s">
        <v>237</v>
      </c>
      <c r="K31" s="29"/>
      <c r="L31" s="5"/>
      <c r="M31" s="5"/>
      <c r="N31" s="5"/>
      <c r="O31" s="5">
        <v>77</v>
      </c>
      <c r="P31" s="5">
        <v>67.5</v>
      </c>
      <c r="Q31" s="5">
        <v>55.5</v>
      </c>
      <c r="R31" s="5">
        <v>1</v>
      </c>
      <c r="S31" s="3">
        <v>6</v>
      </c>
      <c r="T31" s="6">
        <v>5.3999999999999999E-2</v>
      </c>
      <c r="U31" s="3">
        <v>400</v>
      </c>
      <c r="V31" s="3">
        <v>370</v>
      </c>
      <c r="W31" s="6">
        <v>2E-3</v>
      </c>
    </row>
    <row r="32" spans="1:23" ht="99.95" customHeight="1" x14ac:dyDescent="0.25">
      <c r="A32" s="24" t="s">
        <v>187</v>
      </c>
      <c r="B32" s="24">
        <f t="shared" si="0"/>
        <v>15</v>
      </c>
      <c r="C32" s="25">
        <v>6</v>
      </c>
      <c r="D32" s="25">
        <v>1180</v>
      </c>
      <c r="E32" s="26" t="s">
        <v>198</v>
      </c>
      <c r="F32" s="26" t="s">
        <v>212</v>
      </c>
      <c r="G32" s="27">
        <v>34030</v>
      </c>
      <c r="H32" s="28">
        <f t="shared" si="4"/>
        <v>44239</v>
      </c>
      <c r="I32" s="29" t="str">
        <f t="shared" si="2"/>
        <v>Induction motor - Ex. Proof
20 Hp, 15 Kw,  3 Phase
 220/380/440v, 60 Hz
6 Pole - 1180 rpm
Foot mounted - 180L  Frame
TECO Brand</v>
      </c>
      <c r="J32" s="29" t="s">
        <v>238</v>
      </c>
      <c r="K32" s="29"/>
      <c r="L32" s="5"/>
      <c r="M32" s="5"/>
      <c r="N32" s="5"/>
      <c r="O32" s="5">
        <v>77</v>
      </c>
      <c r="P32" s="5">
        <v>67.5</v>
      </c>
      <c r="Q32" s="5">
        <v>55.5</v>
      </c>
      <c r="R32" s="5">
        <v>1</v>
      </c>
      <c r="S32" s="3">
        <v>6</v>
      </c>
      <c r="T32" s="6">
        <v>5.3999999999999999E-2</v>
      </c>
      <c r="U32" s="3">
        <v>400</v>
      </c>
      <c r="V32" s="3">
        <v>370</v>
      </c>
      <c r="W32" s="6">
        <v>2E-3</v>
      </c>
    </row>
    <row r="33" spans="1:23" ht="99.95" customHeight="1" x14ac:dyDescent="0.25">
      <c r="A33" s="24" t="s">
        <v>188</v>
      </c>
      <c r="B33" s="24">
        <v>18.5</v>
      </c>
      <c r="C33" s="25">
        <v>2</v>
      </c>
      <c r="D33" s="25">
        <v>3520</v>
      </c>
      <c r="E33" s="26" t="s">
        <v>30</v>
      </c>
      <c r="F33" s="26" t="s">
        <v>212</v>
      </c>
      <c r="G33" s="27">
        <v>10990</v>
      </c>
      <c r="H33" s="28">
        <f>G33*1.3</f>
        <v>14287</v>
      </c>
      <c r="I33" s="29" t="str">
        <f t="shared" si="2"/>
        <v>Induction motor - Ex. Proof
25 Hp, 18.5 Kw,  3 Phase
 220/380/440v, 60 Hz
2 Pole - 3520 rpm
Foot mounted - 180MA  Frame
TECO Brand</v>
      </c>
      <c r="J33" s="30" t="s">
        <v>239</v>
      </c>
      <c r="K33" s="29"/>
      <c r="L33" s="5"/>
      <c r="M33" s="5"/>
      <c r="N33" s="5"/>
      <c r="O33" s="5">
        <v>77</v>
      </c>
      <c r="P33" s="5">
        <v>67.5</v>
      </c>
      <c r="Q33" s="5">
        <v>55.5</v>
      </c>
      <c r="R33" s="5">
        <v>1</v>
      </c>
      <c r="S33" s="3">
        <v>6</v>
      </c>
      <c r="T33" s="6">
        <v>5.3999999999999999E-2</v>
      </c>
      <c r="U33" s="3">
        <v>400</v>
      </c>
      <c r="V33" s="3">
        <v>370</v>
      </c>
      <c r="W33" s="6">
        <v>2E-3</v>
      </c>
    </row>
    <row r="34" spans="1:23" ht="99.95" customHeight="1" x14ac:dyDescent="0.25">
      <c r="A34" s="24" t="s">
        <v>188</v>
      </c>
      <c r="B34" s="24">
        <v>18.5</v>
      </c>
      <c r="C34" s="25">
        <v>4</v>
      </c>
      <c r="D34" s="25">
        <v>1760</v>
      </c>
      <c r="E34" s="26" t="s">
        <v>197</v>
      </c>
      <c r="F34" s="26" t="s">
        <v>212</v>
      </c>
      <c r="G34" s="27">
        <v>10990</v>
      </c>
      <c r="H34" s="28">
        <f>G34*1.3</f>
        <v>14287</v>
      </c>
      <c r="I34" s="29" t="str">
        <f t="shared" si="2"/>
        <v>Induction motor - Ex. Proof
25 Hp, 18.5 Kw,  3 Phase
 220/380/440v, 60 Hz
4 Pole - 1760 rpm
Foot mounted - 180M  Frame
TECO Brand</v>
      </c>
      <c r="J34" s="30" t="s">
        <v>240</v>
      </c>
      <c r="K34" s="29"/>
      <c r="L34" s="5"/>
      <c r="M34" s="5"/>
      <c r="N34" s="5"/>
      <c r="O34" s="5">
        <v>77</v>
      </c>
      <c r="P34" s="5">
        <v>67.5</v>
      </c>
      <c r="Q34" s="5">
        <v>55.5</v>
      </c>
      <c r="R34" s="5">
        <v>1</v>
      </c>
      <c r="S34" s="3">
        <v>6</v>
      </c>
      <c r="T34" s="6">
        <v>5.3999999999999999E-2</v>
      </c>
      <c r="U34" s="3">
        <v>400</v>
      </c>
      <c r="V34" s="3">
        <v>370</v>
      </c>
      <c r="W34" s="6">
        <v>2E-3</v>
      </c>
    </row>
    <row r="35" spans="1:23" ht="99.95" customHeight="1" x14ac:dyDescent="0.25">
      <c r="A35" s="24" t="s">
        <v>188</v>
      </c>
      <c r="B35" s="24">
        <v>18.5</v>
      </c>
      <c r="C35" s="25">
        <v>6</v>
      </c>
      <c r="D35" s="25">
        <v>1175</v>
      </c>
      <c r="E35" s="27" t="s">
        <v>199</v>
      </c>
      <c r="F35" s="26" t="s">
        <v>212</v>
      </c>
      <c r="G35" s="27">
        <v>12822</v>
      </c>
      <c r="H35" s="28">
        <f t="shared" ref="H35:H41" si="5">G35*1.3</f>
        <v>16668.600000000002</v>
      </c>
      <c r="I35" s="29" t="str">
        <f t="shared" si="2"/>
        <v>Induction motor - Ex. Proof
25 Hp, 18.5 Kw,  3 Phase
 220/380/440v, 60 Hz
6 Pole - 1175 rpm
Foot mounted - 200M  Frame
TECO Brand</v>
      </c>
      <c r="J35" s="29" t="s">
        <v>241</v>
      </c>
      <c r="K35" s="29"/>
      <c r="L35" s="5"/>
      <c r="M35" s="5"/>
      <c r="N35" s="5"/>
      <c r="O35" s="5">
        <v>77</v>
      </c>
      <c r="P35" s="5">
        <v>67.5</v>
      </c>
      <c r="Q35" s="5">
        <v>55.5</v>
      </c>
      <c r="R35" s="5">
        <v>1</v>
      </c>
      <c r="S35" s="3">
        <v>6</v>
      </c>
      <c r="T35" s="6">
        <v>5.3999999999999999E-2</v>
      </c>
      <c r="U35" s="3">
        <v>400</v>
      </c>
      <c r="V35" s="3">
        <v>370</v>
      </c>
      <c r="W35" s="6">
        <v>2E-3</v>
      </c>
    </row>
    <row r="36" spans="1:23" ht="99.95" customHeight="1" x14ac:dyDescent="0.25">
      <c r="A36" s="24" t="s">
        <v>189</v>
      </c>
      <c r="B36" s="24">
        <v>22</v>
      </c>
      <c r="C36" s="25">
        <v>2</v>
      </c>
      <c r="D36" s="25">
        <v>3530</v>
      </c>
      <c r="E36" s="26" t="s">
        <v>31</v>
      </c>
      <c r="F36" s="26" t="s">
        <v>212</v>
      </c>
      <c r="G36" s="27">
        <v>15617</v>
      </c>
      <c r="H36" s="28">
        <f t="shared" si="5"/>
        <v>20302.100000000002</v>
      </c>
      <c r="I36" s="29" t="str">
        <f t="shared" si="2"/>
        <v>Induction motor - Ex. Proof
30 Hp, 22 Kw,  3 Phase
 220/380/440v, 60 Hz
2 Pole - 3530 rpm
Foot mounted - 180LA  Frame
TECO Brand</v>
      </c>
      <c r="J36" s="29" t="s">
        <v>242</v>
      </c>
      <c r="K36" s="29"/>
      <c r="L36" s="5"/>
      <c r="M36" s="5"/>
      <c r="N36" s="5"/>
      <c r="O36" s="5">
        <v>77</v>
      </c>
      <c r="P36" s="5">
        <v>67.5</v>
      </c>
      <c r="Q36" s="5">
        <v>55.5</v>
      </c>
      <c r="R36" s="5">
        <v>1</v>
      </c>
      <c r="S36" s="3">
        <v>6</v>
      </c>
      <c r="T36" s="6">
        <v>5.3999999999999999E-2</v>
      </c>
      <c r="U36" s="3">
        <v>400</v>
      </c>
      <c r="V36" s="3">
        <v>370</v>
      </c>
      <c r="W36" s="6">
        <v>2E-3</v>
      </c>
    </row>
    <row r="37" spans="1:23" ht="99.95" customHeight="1" x14ac:dyDescent="0.25">
      <c r="A37" s="24" t="s">
        <v>189</v>
      </c>
      <c r="B37" s="24">
        <v>22</v>
      </c>
      <c r="C37" s="25">
        <v>4</v>
      </c>
      <c r="D37" s="25">
        <v>1750</v>
      </c>
      <c r="E37" s="26" t="s">
        <v>198</v>
      </c>
      <c r="F37" s="26" t="s">
        <v>212</v>
      </c>
      <c r="G37" s="27">
        <v>19472</v>
      </c>
      <c r="H37" s="28">
        <f t="shared" si="5"/>
        <v>25313.600000000002</v>
      </c>
      <c r="I37" s="29" t="str">
        <f t="shared" si="2"/>
        <v>Induction motor - Ex. Proof
30 Hp, 22 Kw,  3 Phase
 220/380/440v, 60 Hz
4 Pole - 1750 rpm
Foot mounted - 180L  Frame
TECO Brand</v>
      </c>
      <c r="J37" s="30" t="s">
        <v>243</v>
      </c>
      <c r="K37" s="29"/>
      <c r="L37" s="5"/>
      <c r="M37" s="5"/>
      <c r="N37" s="5"/>
      <c r="O37" s="5">
        <v>77</v>
      </c>
      <c r="P37" s="5">
        <v>67.5</v>
      </c>
      <c r="Q37" s="5">
        <v>55.5</v>
      </c>
      <c r="R37" s="5">
        <v>1</v>
      </c>
      <c r="S37" s="3">
        <v>6</v>
      </c>
      <c r="T37" s="6">
        <v>5.3999999999999999E-2</v>
      </c>
      <c r="U37" s="3">
        <v>400</v>
      </c>
      <c r="V37" s="3">
        <v>370</v>
      </c>
      <c r="W37" s="6">
        <v>2E-3</v>
      </c>
    </row>
    <row r="38" spans="1:23" ht="99.95" customHeight="1" x14ac:dyDescent="0.25">
      <c r="A38" s="24" t="s">
        <v>189</v>
      </c>
      <c r="B38" s="24">
        <v>22</v>
      </c>
      <c r="C38" s="25">
        <v>6</v>
      </c>
      <c r="D38" s="25">
        <v>1170</v>
      </c>
      <c r="E38" s="26" t="s">
        <v>200</v>
      </c>
      <c r="F38" s="26" t="s">
        <v>212</v>
      </c>
      <c r="G38" s="27">
        <v>21015</v>
      </c>
      <c r="H38" s="28">
        <f t="shared" si="5"/>
        <v>27319.5</v>
      </c>
      <c r="I38" s="29" t="str">
        <f t="shared" si="2"/>
        <v>Induction motor - Ex. Proof
30 Hp, 22 Kw,  3 Phase
 220/380/440v, 60 Hz
6 Pole - 1170 rpm
Foot mounted - 200L  Frame
TECO Brand</v>
      </c>
      <c r="J38" s="30" t="s">
        <v>244</v>
      </c>
      <c r="K38" s="29"/>
      <c r="L38" s="5"/>
      <c r="M38" s="5"/>
      <c r="N38" s="5"/>
      <c r="O38" s="5">
        <v>77</v>
      </c>
      <c r="P38" s="5">
        <v>67.5</v>
      </c>
      <c r="Q38" s="5">
        <v>55.5</v>
      </c>
      <c r="R38" s="5">
        <v>1</v>
      </c>
      <c r="S38" s="3">
        <v>6</v>
      </c>
      <c r="T38" s="6">
        <v>5.3999999999999999E-2</v>
      </c>
      <c r="U38" s="3">
        <v>400</v>
      </c>
      <c r="V38" s="3">
        <v>370</v>
      </c>
      <c r="W38" s="6">
        <v>2E-3</v>
      </c>
    </row>
    <row r="39" spans="1:23" ht="99.95" customHeight="1" x14ac:dyDescent="0.25">
      <c r="A39" s="24" t="s">
        <v>190</v>
      </c>
      <c r="B39" s="24">
        <f t="shared" si="0"/>
        <v>30</v>
      </c>
      <c r="C39" s="25">
        <v>2</v>
      </c>
      <c r="D39" s="25">
        <v>3550</v>
      </c>
      <c r="E39" s="26" t="s">
        <v>201</v>
      </c>
      <c r="F39" s="26" t="s">
        <v>212</v>
      </c>
      <c r="G39" s="27">
        <v>24678</v>
      </c>
      <c r="H39" s="28">
        <f t="shared" si="5"/>
        <v>32081.4</v>
      </c>
      <c r="I39" s="29" t="str">
        <f t="shared" si="2"/>
        <v>Induction motor - Ex. Proof
40 Hp, 30 Kw,  3 Phase
 220/380/440v, 60 Hz
2 Pole - 3550 rpm
Foot mounted - 200MA  Frame
TECO Brand</v>
      </c>
      <c r="J39" s="29" t="s">
        <v>245</v>
      </c>
      <c r="K39" s="29"/>
      <c r="L39" s="5"/>
      <c r="M39" s="5"/>
      <c r="N39" s="5"/>
      <c r="O39" s="5">
        <v>77</v>
      </c>
      <c r="P39" s="5">
        <v>67.5</v>
      </c>
      <c r="Q39" s="5">
        <v>55.5</v>
      </c>
      <c r="R39" s="5">
        <v>1</v>
      </c>
      <c r="S39" s="3">
        <v>6</v>
      </c>
      <c r="T39" s="6">
        <v>5.3999999999999999E-2</v>
      </c>
      <c r="U39" s="3">
        <v>400</v>
      </c>
      <c r="V39" s="3">
        <v>370</v>
      </c>
      <c r="W39" s="6">
        <v>2E-3</v>
      </c>
    </row>
    <row r="40" spans="1:23" ht="99.95" customHeight="1" x14ac:dyDescent="0.25">
      <c r="A40" s="24" t="s">
        <v>190</v>
      </c>
      <c r="B40" s="24">
        <f t="shared" si="0"/>
        <v>30</v>
      </c>
      <c r="C40" s="25">
        <v>4</v>
      </c>
      <c r="D40" s="25">
        <v>1760</v>
      </c>
      <c r="E40" s="26" t="s">
        <v>199</v>
      </c>
      <c r="F40" s="26" t="s">
        <v>212</v>
      </c>
      <c r="G40" s="27">
        <v>30656</v>
      </c>
      <c r="H40" s="28">
        <f t="shared" si="5"/>
        <v>39852.800000000003</v>
      </c>
      <c r="I40" s="29" t="str">
        <f t="shared" si="2"/>
        <v>Induction motor - Ex. Proof
40 Hp, 30 Kw,  3 Phase
 220/380/440v, 60 Hz
4 Pole - 1760 rpm
Foot mounted - 200M  Frame
TECO Brand</v>
      </c>
      <c r="J40" s="29" t="s">
        <v>246</v>
      </c>
      <c r="K40" s="29"/>
      <c r="L40" s="5"/>
      <c r="M40" s="5"/>
      <c r="N40" s="5"/>
      <c r="O40" s="5">
        <v>77</v>
      </c>
      <c r="P40" s="5">
        <v>67.5</v>
      </c>
      <c r="Q40" s="5">
        <v>55.5</v>
      </c>
      <c r="R40" s="5">
        <v>1</v>
      </c>
      <c r="S40" s="3">
        <v>6</v>
      </c>
      <c r="T40" s="6">
        <v>5.3999999999999999E-2</v>
      </c>
      <c r="U40" s="3">
        <v>400</v>
      </c>
      <c r="V40" s="3">
        <v>370</v>
      </c>
      <c r="W40" s="6">
        <v>2E-3</v>
      </c>
    </row>
    <row r="41" spans="1:23" ht="99.95" customHeight="1" x14ac:dyDescent="0.25">
      <c r="A41" s="24" t="s">
        <v>190</v>
      </c>
      <c r="B41" s="24">
        <f t="shared" si="0"/>
        <v>30</v>
      </c>
      <c r="C41" s="25">
        <v>6</v>
      </c>
      <c r="D41" s="25">
        <v>1185</v>
      </c>
      <c r="E41" s="26" t="s">
        <v>202</v>
      </c>
      <c r="F41" s="26" t="s">
        <v>212</v>
      </c>
      <c r="G41" s="27">
        <v>34030</v>
      </c>
      <c r="H41" s="28">
        <f t="shared" si="5"/>
        <v>44239</v>
      </c>
      <c r="I41" s="29" t="str">
        <f t="shared" si="2"/>
        <v>Induction motor - Ex. Proof
40 Hp, 30 Kw,  3 Phase
 220/380/440v, 60 Hz
6 Pole - 1185 rpm
Foot mounted - 225S  Frame
TECO Brand</v>
      </c>
      <c r="J41" s="29" t="s">
        <v>247</v>
      </c>
      <c r="K41" s="29"/>
      <c r="L41" s="5"/>
      <c r="M41" s="5"/>
      <c r="N41" s="5"/>
      <c r="O41" s="5">
        <v>77</v>
      </c>
      <c r="P41" s="5">
        <v>67.5</v>
      </c>
      <c r="Q41" s="5">
        <v>55.5</v>
      </c>
      <c r="R41" s="5">
        <v>1</v>
      </c>
      <c r="S41" s="3">
        <v>6</v>
      </c>
      <c r="T41" s="6">
        <v>5.3999999999999999E-2</v>
      </c>
      <c r="U41" s="3">
        <v>400</v>
      </c>
      <c r="V41" s="3">
        <v>370</v>
      </c>
      <c r="W41" s="6">
        <v>2E-3</v>
      </c>
    </row>
    <row r="42" spans="1:23" ht="99.95" customHeight="1" x14ac:dyDescent="0.25">
      <c r="A42" s="24" t="s">
        <v>191</v>
      </c>
      <c r="B42" s="24">
        <v>37</v>
      </c>
      <c r="C42" s="25">
        <v>2</v>
      </c>
      <c r="D42" s="25">
        <v>3550</v>
      </c>
      <c r="E42" s="26" t="s">
        <v>33</v>
      </c>
      <c r="F42" s="26" t="s">
        <v>212</v>
      </c>
      <c r="G42" s="27">
        <v>10990</v>
      </c>
      <c r="H42" s="28">
        <f>G42*1.3</f>
        <v>14287</v>
      </c>
      <c r="I42" s="29" t="str">
        <f t="shared" si="2"/>
        <v>Induction motor - Ex. Proof
50 Hp, 37 Kw,  3 Phase
 220/380/440v, 60 Hz
2 Pole - 3550 rpm
Foot mounted - 200LA  Frame
TECO Brand</v>
      </c>
      <c r="J42" s="30" t="s">
        <v>248</v>
      </c>
      <c r="K42" s="29"/>
      <c r="L42" s="5"/>
      <c r="M42" s="5"/>
      <c r="N42" s="5"/>
      <c r="O42" s="5">
        <v>77</v>
      </c>
      <c r="P42" s="5">
        <v>67.5</v>
      </c>
      <c r="Q42" s="5">
        <v>55.5</v>
      </c>
      <c r="R42" s="5">
        <v>1</v>
      </c>
      <c r="S42" s="3">
        <v>6</v>
      </c>
      <c r="T42" s="6">
        <v>5.3999999999999999E-2</v>
      </c>
      <c r="U42" s="3">
        <v>400</v>
      </c>
      <c r="V42" s="3">
        <v>370</v>
      </c>
      <c r="W42" s="6">
        <v>2E-3</v>
      </c>
    </row>
    <row r="43" spans="1:23" ht="99.95" customHeight="1" x14ac:dyDescent="0.25">
      <c r="A43" s="24" t="s">
        <v>191</v>
      </c>
      <c r="B43" s="24">
        <v>37</v>
      </c>
      <c r="C43" s="25">
        <v>4</v>
      </c>
      <c r="D43" s="25">
        <v>1760</v>
      </c>
      <c r="E43" s="26" t="s">
        <v>200</v>
      </c>
      <c r="F43" s="26" t="s">
        <v>212</v>
      </c>
      <c r="G43" s="27">
        <v>10990</v>
      </c>
      <c r="H43" s="28">
        <f>G43*1.3</f>
        <v>14287</v>
      </c>
      <c r="I43" s="29" t="str">
        <f t="shared" si="2"/>
        <v>Induction motor - Ex. Proof
50 Hp, 37 Kw,  3 Phase
 220/380/440v, 60 Hz
4 Pole - 1760 rpm
Foot mounted - 200L  Frame
TECO Brand</v>
      </c>
      <c r="J43" s="30" t="s">
        <v>249</v>
      </c>
      <c r="K43" s="29"/>
      <c r="L43" s="5"/>
      <c r="M43" s="5"/>
      <c r="N43" s="5"/>
      <c r="O43" s="5">
        <v>77</v>
      </c>
      <c r="P43" s="5">
        <v>67.5</v>
      </c>
      <c r="Q43" s="5">
        <v>55.5</v>
      </c>
      <c r="R43" s="5">
        <v>1</v>
      </c>
      <c r="S43" s="3">
        <v>6</v>
      </c>
      <c r="T43" s="6">
        <v>5.3999999999999999E-2</v>
      </c>
      <c r="U43" s="3">
        <v>400</v>
      </c>
      <c r="V43" s="3">
        <v>370</v>
      </c>
      <c r="W43" s="6">
        <v>2E-3</v>
      </c>
    </row>
    <row r="44" spans="1:23" ht="99.95" customHeight="1" x14ac:dyDescent="0.25">
      <c r="A44" s="24" t="s">
        <v>191</v>
      </c>
      <c r="B44" s="24">
        <v>37</v>
      </c>
      <c r="C44" s="25">
        <v>6</v>
      </c>
      <c r="D44" s="25">
        <v>1180</v>
      </c>
      <c r="E44" s="27" t="s">
        <v>203</v>
      </c>
      <c r="F44" s="26" t="s">
        <v>212</v>
      </c>
      <c r="G44" s="27">
        <v>12822</v>
      </c>
      <c r="H44" s="28">
        <f t="shared" ref="H44:H48" si="6">G44*1.3</f>
        <v>16668.600000000002</v>
      </c>
      <c r="I44" s="29" t="str">
        <f t="shared" si="2"/>
        <v>Induction motor - Ex. Proof
50 Hp, 37 Kw,  3 Phase
 220/380/440v, 60 Hz
6 Pole - 1180 rpm
Foot mounted - 225M  Frame
TECO Brand</v>
      </c>
      <c r="J44" s="29" t="s">
        <v>250</v>
      </c>
      <c r="K44" s="29"/>
      <c r="L44" s="5"/>
      <c r="M44" s="5"/>
      <c r="N44" s="5"/>
      <c r="O44" s="5">
        <v>77</v>
      </c>
      <c r="P44" s="5">
        <v>67.5</v>
      </c>
      <c r="Q44" s="5">
        <v>55.5</v>
      </c>
      <c r="R44" s="5">
        <v>1</v>
      </c>
      <c r="S44" s="3">
        <v>6</v>
      </c>
      <c r="T44" s="6">
        <v>5.3999999999999999E-2</v>
      </c>
      <c r="U44" s="3">
        <v>400</v>
      </c>
      <c r="V44" s="3">
        <v>370</v>
      </c>
      <c r="W44" s="6">
        <v>2E-3</v>
      </c>
    </row>
    <row r="45" spans="1:23" ht="99.95" customHeight="1" x14ac:dyDescent="0.25">
      <c r="A45" s="24" t="s">
        <v>192</v>
      </c>
      <c r="B45" s="24">
        <f t="shared" si="0"/>
        <v>45</v>
      </c>
      <c r="C45" s="25">
        <v>2</v>
      </c>
      <c r="D45" s="25">
        <v>3530</v>
      </c>
      <c r="E45" s="26" t="s">
        <v>35</v>
      </c>
      <c r="F45" s="26" t="s">
        <v>212</v>
      </c>
      <c r="G45" s="27">
        <v>19472</v>
      </c>
      <c r="H45" s="28">
        <f t="shared" si="6"/>
        <v>25313.600000000002</v>
      </c>
      <c r="I45" s="29" t="str">
        <f t="shared" si="2"/>
        <v>Induction motor - Ex. Proof
60 Hp, 45 Kw,  3 Phase
 220/380/440v, 60 Hz
2 Pole - 3530 rpm
Foot mounted - 225SA  Frame
TECO Brand</v>
      </c>
      <c r="J45" s="30" t="s">
        <v>251</v>
      </c>
      <c r="K45" s="29"/>
      <c r="L45" s="5"/>
      <c r="M45" s="5"/>
      <c r="N45" s="5"/>
      <c r="O45" s="5">
        <v>77</v>
      </c>
      <c r="P45" s="5">
        <v>67.5</v>
      </c>
      <c r="Q45" s="5">
        <v>55.5</v>
      </c>
      <c r="R45" s="5">
        <v>1</v>
      </c>
      <c r="S45" s="3">
        <v>6</v>
      </c>
      <c r="T45" s="6">
        <v>5.3999999999999999E-2</v>
      </c>
      <c r="U45" s="3">
        <v>400</v>
      </c>
      <c r="V45" s="3">
        <v>370</v>
      </c>
      <c r="W45" s="6">
        <v>2E-3</v>
      </c>
    </row>
    <row r="46" spans="1:23" ht="99.95" customHeight="1" x14ac:dyDescent="0.25">
      <c r="A46" s="24" t="s">
        <v>192</v>
      </c>
      <c r="B46" s="24">
        <f t="shared" si="0"/>
        <v>45</v>
      </c>
      <c r="C46" s="25">
        <v>4</v>
      </c>
      <c r="D46" s="25">
        <v>1765</v>
      </c>
      <c r="E46" s="26" t="s">
        <v>202</v>
      </c>
      <c r="F46" s="26" t="s">
        <v>212</v>
      </c>
      <c r="G46" s="27">
        <v>21015</v>
      </c>
      <c r="H46" s="28">
        <f t="shared" si="6"/>
        <v>27319.5</v>
      </c>
      <c r="I46" s="29" t="str">
        <f t="shared" si="2"/>
        <v>Induction motor - Ex. Proof
60 Hp, 45 Kw,  3 Phase
 220/380/440v, 60 Hz
4 Pole - 1765 rpm
Foot mounted - 225S  Frame
TECO Brand</v>
      </c>
      <c r="J46" s="30" t="s">
        <v>252</v>
      </c>
      <c r="K46" s="29"/>
      <c r="L46" s="5"/>
      <c r="M46" s="5"/>
      <c r="N46" s="5"/>
      <c r="O46" s="5">
        <v>77</v>
      </c>
      <c r="P46" s="5">
        <v>67.5</v>
      </c>
      <c r="Q46" s="5">
        <v>55.5</v>
      </c>
      <c r="R46" s="5">
        <v>1</v>
      </c>
      <c r="S46" s="3">
        <v>6</v>
      </c>
      <c r="T46" s="6">
        <v>5.3999999999999999E-2</v>
      </c>
      <c r="U46" s="3">
        <v>400</v>
      </c>
      <c r="V46" s="3">
        <v>370</v>
      </c>
      <c r="W46" s="6">
        <v>2E-3</v>
      </c>
    </row>
    <row r="47" spans="1:23" ht="99.95" customHeight="1" x14ac:dyDescent="0.25">
      <c r="A47" s="24" t="s">
        <v>192</v>
      </c>
      <c r="B47" s="24">
        <f t="shared" si="0"/>
        <v>45</v>
      </c>
      <c r="C47" s="25">
        <v>6</v>
      </c>
      <c r="D47" s="25">
        <v>1170</v>
      </c>
      <c r="E47" s="26" t="s">
        <v>204</v>
      </c>
      <c r="F47" s="26" t="s">
        <v>212</v>
      </c>
      <c r="G47" s="27">
        <v>24678</v>
      </c>
      <c r="H47" s="28">
        <f t="shared" si="6"/>
        <v>32081.4</v>
      </c>
      <c r="I47" s="29" t="str">
        <f t="shared" si="2"/>
        <v>Induction motor - Ex. Proof
60 Hp, 45 Kw,  3 Phase
 220/380/440v, 60 Hz
6 Pole - 1170 rpm
Foot mounted - 250SC  Frame
TECO Brand</v>
      </c>
      <c r="J47" s="29" t="s">
        <v>253</v>
      </c>
      <c r="K47" s="29"/>
      <c r="L47" s="5"/>
      <c r="M47" s="5"/>
      <c r="N47" s="5"/>
      <c r="O47" s="5">
        <v>77</v>
      </c>
      <c r="P47" s="5">
        <v>67.5</v>
      </c>
      <c r="Q47" s="5">
        <v>55.5</v>
      </c>
      <c r="R47" s="5">
        <v>1</v>
      </c>
      <c r="S47" s="3">
        <v>6</v>
      </c>
      <c r="T47" s="6">
        <v>5.3999999999999999E-2</v>
      </c>
      <c r="U47" s="3">
        <v>400</v>
      </c>
      <c r="V47" s="3">
        <v>370</v>
      </c>
      <c r="W47" s="6">
        <v>2E-3</v>
      </c>
    </row>
    <row r="48" spans="1:23" ht="99.95" customHeight="1" x14ac:dyDescent="0.25">
      <c r="A48" s="24" t="s">
        <v>193</v>
      </c>
      <c r="B48" s="24">
        <v>56</v>
      </c>
      <c r="C48" s="25">
        <v>2</v>
      </c>
      <c r="D48" s="25">
        <v>3540</v>
      </c>
      <c r="E48" s="26" t="s">
        <v>205</v>
      </c>
      <c r="F48" s="26" t="s">
        <v>212</v>
      </c>
      <c r="G48" s="27">
        <v>34030</v>
      </c>
      <c r="H48" s="28">
        <f t="shared" si="6"/>
        <v>44239</v>
      </c>
      <c r="I48" s="29" t="str">
        <f t="shared" si="2"/>
        <v>Induction motor - Ex. Proof
75 Hp, 56 Kw,  3 Phase
 220/380/440v, 60 Hz
2 Pole - 3540 rpm
Foot mounted - 225MA  Frame
TECO Brand</v>
      </c>
      <c r="J48" s="29" t="s">
        <v>254</v>
      </c>
      <c r="K48" s="29"/>
      <c r="L48" s="5"/>
      <c r="M48" s="5"/>
      <c r="N48" s="5"/>
      <c r="O48" s="5">
        <v>77</v>
      </c>
      <c r="P48" s="5">
        <v>67.5</v>
      </c>
      <c r="Q48" s="5">
        <v>55.5</v>
      </c>
      <c r="R48" s="5">
        <v>1</v>
      </c>
      <c r="S48" s="3">
        <v>6</v>
      </c>
      <c r="T48" s="6">
        <v>5.3999999999999999E-2</v>
      </c>
      <c r="U48" s="3">
        <v>400</v>
      </c>
      <c r="V48" s="3">
        <v>370</v>
      </c>
      <c r="W48" s="6">
        <v>2E-3</v>
      </c>
    </row>
    <row r="49" spans="1:23" ht="99.95" customHeight="1" x14ac:dyDescent="0.25">
      <c r="A49" s="24" t="s">
        <v>193</v>
      </c>
      <c r="B49" s="24">
        <v>56</v>
      </c>
      <c r="C49" s="25">
        <v>4</v>
      </c>
      <c r="D49" s="25">
        <v>1775</v>
      </c>
      <c r="E49" s="26" t="s">
        <v>203</v>
      </c>
      <c r="F49" s="26" t="s">
        <v>212</v>
      </c>
      <c r="G49" s="27">
        <v>10990</v>
      </c>
      <c r="H49" s="28">
        <f>G49*1.3</f>
        <v>14287</v>
      </c>
      <c r="I49" s="29" t="str">
        <f t="shared" si="2"/>
        <v>Induction motor - Ex. Proof
75 Hp, 56 Kw,  3 Phase
 220/380/440v, 60 Hz
4 Pole - 1775 rpm
Foot mounted - 225M  Frame
TECO Brand</v>
      </c>
      <c r="J49" s="30" t="s">
        <v>255</v>
      </c>
      <c r="K49" s="29"/>
      <c r="L49" s="5"/>
      <c r="M49" s="5"/>
      <c r="N49" s="5"/>
      <c r="O49" s="5">
        <v>77</v>
      </c>
      <c r="P49" s="5">
        <v>67.5</v>
      </c>
      <c r="Q49" s="5">
        <v>55.5</v>
      </c>
      <c r="R49" s="5">
        <v>1</v>
      </c>
      <c r="S49" s="3">
        <v>6</v>
      </c>
      <c r="T49" s="6">
        <v>5.3999999999999999E-2</v>
      </c>
      <c r="U49" s="3">
        <v>400</v>
      </c>
      <c r="V49" s="3">
        <v>370</v>
      </c>
      <c r="W49" s="6">
        <v>2E-3</v>
      </c>
    </row>
    <row r="50" spans="1:23" ht="99.95" customHeight="1" x14ac:dyDescent="0.25">
      <c r="A50" s="24" t="s">
        <v>193</v>
      </c>
      <c r="B50" s="24">
        <v>56</v>
      </c>
      <c r="C50" s="25">
        <v>6</v>
      </c>
      <c r="D50" s="25">
        <v>1175</v>
      </c>
      <c r="E50" s="26" t="s">
        <v>206</v>
      </c>
      <c r="F50" s="26" t="s">
        <v>212</v>
      </c>
      <c r="G50" s="27">
        <v>10990</v>
      </c>
      <c r="H50" s="28">
        <f>G50*1.3</f>
        <v>14287</v>
      </c>
      <c r="I50" s="29" t="str">
        <f t="shared" si="2"/>
        <v>Induction motor - Ex. Proof
75 Hp, 56 Kw,  3 Phase
 220/380/440v, 60 Hz
6 Pole - 1175 rpm
Foot mounted - 250MC  Frame
TECO Brand</v>
      </c>
      <c r="J50" s="30" t="s">
        <v>256</v>
      </c>
      <c r="K50" s="29"/>
      <c r="L50" s="5"/>
      <c r="M50" s="5"/>
      <c r="N50" s="5"/>
      <c r="O50" s="5">
        <v>77</v>
      </c>
      <c r="P50" s="5">
        <v>67.5</v>
      </c>
      <c r="Q50" s="5">
        <v>55.5</v>
      </c>
      <c r="R50" s="5">
        <v>1</v>
      </c>
      <c r="S50" s="3">
        <v>6</v>
      </c>
      <c r="T50" s="6">
        <v>5.3999999999999999E-2</v>
      </c>
      <c r="U50" s="3">
        <v>400</v>
      </c>
      <c r="V50" s="3">
        <v>370</v>
      </c>
      <c r="W50" s="6">
        <v>2E-3</v>
      </c>
    </row>
    <row r="51" spans="1:23" ht="99.95" customHeight="1" x14ac:dyDescent="0.25">
      <c r="A51" s="24" t="s">
        <v>194</v>
      </c>
      <c r="B51" s="24">
        <f t="shared" si="0"/>
        <v>75</v>
      </c>
      <c r="C51" s="25">
        <v>2</v>
      </c>
      <c r="D51" s="25">
        <v>3550</v>
      </c>
      <c r="E51" s="26" t="s">
        <v>207</v>
      </c>
      <c r="F51" s="26" t="s">
        <v>212</v>
      </c>
      <c r="G51" s="27">
        <v>15617</v>
      </c>
      <c r="H51" s="28">
        <f t="shared" ref="H51:H55" si="7">G51*1.3</f>
        <v>20302.100000000002</v>
      </c>
      <c r="I51" s="29" t="str">
        <f t="shared" si="2"/>
        <v>Induction motor - Ex. Proof
100 Hp, 75 Kw,  3 Phase
 220/380/440v, 60 Hz
2 Pole - 3550 rpm
Foot mounted - 250MA  Frame
TECO Brand</v>
      </c>
      <c r="J51" s="29" t="s">
        <v>257</v>
      </c>
      <c r="K51" s="29"/>
      <c r="L51" s="5"/>
      <c r="M51" s="5"/>
      <c r="N51" s="5"/>
      <c r="O51" s="5">
        <v>77</v>
      </c>
      <c r="P51" s="5">
        <v>67.5</v>
      </c>
      <c r="Q51" s="5">
        <v>55.5</v>
      </c>
      <c r="R51" s="5">
        <v>1</v>
      </c>
      <c r="S51" s="3">
        <v>6</v>
      </c>
      <c r="T51" s="6">
        <v>5.3999999999999999E-2</v>
      </c>
      <c r="U51" s="3">
        <v>400</v>
      </c>
      <c r="V51" s="3">
        <v>370</v>
      </c>
      <c r="W51" s="6">
        <v>2E-3</v>
      </c>
    </row>
    <row r="52" spans="1:23" ht="99.95" customHeight="1" x14ac:dyDescent="0.25">
      <c r="A52" s="24" t="s">
        <v>194</v>
      </c>
      <c r="B52" s="24">
        <f>A52*0.75</f>
        <v>75</v>
      </c>
      <c r="C52" s="25">
        <v>4</v>
      </c>
      <c r="D52" s="25">
        <v>1770</v>
      </c>
      <c r="E52" s="26" t="s">
        <v>206</v>
      </c>
      <c r="F52" s="26" t="s">
        <v>212</v>
      </c>
      <c r="G52" s="27">
        <v>19472</v>
      </c>
      <c r="H52" s="28">
        <f t="shared" si="7"/>
        <v>25313.600000000002</v>
      </c>
      <c r="I52" s="29" t="str">
        <f t="shared" si="2"/>
        <v>Induction motor - Ex. Proof
100 Hp, 75 Kw,  3 Phase
 220/380/440v, 60 Hz
4 Pole - 1770 rpm
Foot mounted - 250MC  Frame
TECO Brand</v>
      </c>
      <c r="J52" s="30" t="s">
        <v>258</v>
      </c>
      <c r="K52" s="29"/>
      <c r="L52" s="5"/>
      <c r="M52" s="5"/>
      <c r="N52" s="5"/>
      <c r="O52" s="5">
        <v>77</v>
      </c>
      <c r="P52" s="5">
        <v>67.5</v>
      </c>
      <c r="Q52" s="5">
        <v>55.5</v>
      </c>
      <c r="R52" s="5">
        <v>1</v>
      </c>
      <c r="S52" s="3">
        <v>6</v>
      </c>
      <c r="T52" s="6">
        <v>5.3999999999999999E-2</v>
      </c>
      <c r="U52" s="3">
        <v>400</v>
      </c>
      <c r="V52" s="3">
        <v>370</v>
      </c>
      <c r="W52" s="6">
        <v>2E-3</v>
      </c>
    </row>
    <row r="53" spans="1:23" ht="99.95" customHeight="1" x14ac:dyDescent="0.25">
      <c r="A53" s="24" t="s">
        <v>194</v>
      </c>
      <c r="B53" s="24">
        <f t="shared" si="0"/>
        <v>75</v>
      </c>
      <c r="C53" s="25">
        <v>6</v>
      </c>
      <c r="D53" s="25">
        <v>1175</v>
      </c>
      <c r="E53" s="26" t="s">
        <v>208</v>
      </c>
      <c r="F53" s="26" t="s">
        <v>212</v>
      </c>
      <c r="G53" s="27">
        <v>21015</v>
      </c>
      <c r="H53" s="28">
        <f t="shared" si="7"/>
        <v>27319.5</v>
      </c>
      <c r="I53" s="29" t="str">
        <f t="shared" si="2"/>
        <v>Induction motor - Ex. Proof
100 Hp, 75 Kw,  3 Phase
 220/380/440v, 60 Hz
6 Pole - 1175 rpm
Foot mounted - 280SC  Frame
TECO Brand</v>
      </c>
      <c r="J53" s="30" t="s">
        <v>259</v>
      </c>
      <c r="K53" s="29"/>
      <c r="L53" s="5"/>
      <c r="M53" s="5"/>
      <c r="N53" s="5"/>
      <c r="O53" s="5">
        <v>77</v>
      </c>
      <c r="P53" s="5">
        <v>67.5</v>
      </c>
      <c r="Q53" s="5">
        <v>55.5</v>
      </c>
      <c r="R53" s="5">
        <v>1</v>
      </c>
      <c r="S53" s="3">
        <v>6</v>
      </c>
      <c r="T53" s="6">
        <v>5.3999999999999999E-2</v>
      </c>
      <c r="U53" s="3">
        <v>400</v>
      </c>
      <c r="V53" s="3">
        <v>370</v>
      </c>
      <c r="W53" s="6">
        <v>2E-3</v>
      </c>
    </row>
    <row r="54" spans="1:23" ht="99.95" customHeight="1" x14ac:dyDescent="0.25">
      <c r="A54" s="24" t="s">
        <v>195</v>
      </c>
      <c r="B54" s="24">
        <v>93</v>
      </c>
      <c r="C54" s="25">
        <v>2</v>
      </c>
      <c r="D54" s="25">
        <v>3555</v>
      </c>
      <c r="E54" s="26" t="s">
        <v>209</v>
      </c>
      <c r="F54" s="26" t="s">
        <v>212</v>
      </c>
      <c r="G54" s="27">
        <v>30656</v>
      </c>
      <c r="H54" s="28">
        <f t="shared" si="7"/>
        <v>39852.800000000003</v>
      </c>
      <c r="I54" s="29" t="str">
        <f t="shared" si="2"/>
        <v>Induction motor - Ex. Proof
125 Hp, 93 Kw,  3 Phase
 220/380/440v, 60 Hz
2 Pole - 3555 rpm
Foot mounted - 280SA  Frame
TECO Brand</v>
      </c>
      <c r="J54" s="29" t="s">
        <v>260</v>
      </c>
      <c r="K54" s="29"/>
      <c r="L54" s="5"/>
      <c r="M54" s="5"/>
      <c r="N54" s="5"/>
      <c r="O54" s="5">
        <v>77</v>
      </c>
      <c r="P54" s="5">
        <v>67.5</v>
      </c>
      <c r="Q54" s="5">
        <v>55.5</v>
      </c>
      <c r="R54" s="5">
        <v>1</v>
      </c>
      <c r="S54" s="3">
        <v>6</v>
      </c>
      <c r="T54" s="6">
        <v>5.3999999999999999E-2</v>
      </c>
      <c r="U54" s="3">
        <v>400</v>
      </c>
      <c r="V54" s="3">
        <v>370</v>
      </c>
      <c r="W54" s="6">
        <v>2E-3</v>
      </c>
    </row>
    <row r="55" spans="1:23" ht="99.95" customHeight="1" x14ac:dyDescent="0.25">
      <c r="A55" s="24" t="s">
        <v>195</v>
      </c>
      <c r="B55" s="24">
        <v>93</v>
      </c>
      <c r="C55" s="25">
        <v>4</v>
      </c>
      <c r="D55" s="25">
        <v>1775</v>
      </c>
      <c r="E55" s="26" t="s">
        <v>208</v>
      </c>
      <c r="F55" s="26" t="s">
        <v>212</v>
      </c>
      <c r="G55" s="27">
        <v>34030</v>
      </c>
      <c r="H55" s="28">
        <f t="shared" si="7"/>
        <v>44239</v>
      </c>
      <c r="I55" s="29" t="str">
        <f t="shared" si="2"/>
        <v>Induction motor - Ex. Proof
125 Hp, 93 Kw,  3 Phase
 220/380/440v, 60 Hz
4 Pole - 1775 rpm
Foot mounted - 280SC  Frame
TECO Brand</v>
      </c>
      <c r="J55" s="29" t="s">
        <v>261</v>
      </c>
      <c r="K55" s="29"/>
      <c r="L55" s="5"/>
      <c r="M55" s="5"/>
      <c r="N55" s="5"/>
      <c r="O55" s="5">
        <v>77</v>
      </c>
      <c r="P55" s="5">
        <v>67.5</v>
      </c>
      <c r="Q55" s="5">
        <v>55.5</v>
      </c>
      <c r="R55" s="5">
        <v>1</v>
      </c>
      <c r="S55" s="3">
        <v>6</v>
      </c>
      <c r="T55" s="6">
        <v>5.3999999999999999E-2</v>
      </c>
      <c r="U55" s="3">
        <v>400</v>
      </c>
      <c r="V55" s="3">
        <v>370</v>
      </c>
      <c r="W55" s="6">
        <v>2E-3</v>
      </c>
    </row>
    <row r="56" spans="1:23" ht="99.95" customHeight="1" x14ac:dyDescent="0.25">
      <c r="A56" s="24" t="s">
        <v>195</v>
      </c>
      <c r="B56" s="24">
        <v>93</v>
      </c>
      <c r="C56" s="25">
        <v>6</v>
      </c>
      <c r="D56" s="25">
        <v>1175</v>
      </c>
      <c r="E56" s="26" t="s">
        <v>210</v>
      </c>
      <c r="F56" s="26" t="s">
        <v>212</v>
      </c>
      <c r="G56" s="27">
        <v>10990</v>
      </c>
      <c r="H56" s="28">
        <f>G56*1.3</f>
        <v>14287</v>
      </c>
      <c r="I56" s="29" t="str">
        <f t="shared" si="2"/>
        <v>Induction motor - Ex. Proof
125 Hp, 93 Kw,  3 Phase
 220/380/440v, 60 Hz
6 Pole - 1175 rpm
Foot mounted - 280MC  Frame
TECO Brand</v>
      </c>
      <c r="J56" s="30" t="s">
        <v>262</v>
      </c>
      <c r="K56" s="29"/>
      <c r="L56" s="5"/>
      <c r="M56" s="5"/>
      <c r="N56" s="5"/>
      <c r="O56" s="5">
        <v>77</v>
      </c>
      <c r="P56" s="5">
        <v>67.5</v>
      </c>
      <c r="Q56" s="5">
        <v>55.5</v>
      </c>
      <c r="R56" s="5">
        <v>1</v>
      </c>
      <c r="S56" s="3">
        <v>6</v>
      </c>
      <c r="T56" s="6">
        <v>5.3999999999999999E-2</v>
      </c>
      <c r="U56" s="3">
        <v>400</v>
      </c>
      <c r="V56" s="3">
        <v>370</v>
      </c>
      <c r="W56" s="6">
        <v>2E-3</v>
      </c>
    </row>
    <row r="57" spans="1:23" ht="99.95" customHeight="1" x14ac:dyDescent="0.25">
      <c r="A57" s="24" t="s">
        <v>196</v>
      </c>
      <c r="B57" s="24">
        <v>112</v>
      </c>
      <c r="C57" s="25">
        <v>2</v>
      </c>
      <c r="D57" s="25">
        <v>3555</v>
      </c>
      <c r="E57" s="26" t="s">
        <v>211</v>
      </c>
      <c r="F57" s="26" t="s">
        <v>212</v>
      </c>
      <c r="G57" s="27">
        <v>10990</v>
      </c>
      <c r="H57" s="28">
        <f>G57*1.3</f>
        <v>14287</v>
      </c>
      <c r="I57" s="29" t="str">
        <f t="shared" si="2"/>
        <v>Induction motor - Ex. Proof
150 Hp, 112 Kw,  3 Phase
 220/380/440v, 60 Hz
2 Pole - 3555 rpm
Foot mounted - 280MA  Frame
TECO Brand</v>
      </c>
      <c r="J57" s="30" t="s">
        <v>263</v>
      </c>
      <c r="K57" s="29"/>
      <c r="L57" s="5"/>
      <c r="M57" s="5"/>
      <c r="N57" s="5"/>
      <c r="O57" s="5">
        <v>77</v>
      </c>
      <c r="P57" s="5">
        <v>67.5</v>
      </c>
      <c r="Q57" s="5">
        <v>55.5</v>
      </c>
      <c r="R57" s="5">
        <v>1</v>
      </c>
      <c r="S57" s="3">
        <v>6</v>
      </c>
      <c r="T57" s="6">
        <v>5.3999999999999999E-2</v>
      </c>
      <c r="U57" s="3">
        <v>400</v>
      </c>
      <c r="V57" s="3">
        <v>370</v>
      </c>
      <c r="W57" s="6">
        <v>2E-3</v>
      </c>
    </row>
    <row r="58" spans="1:23" ht="99.95" customHeight="1" x14ac:dyDescent="0.25">
      <c r="A58" s="24" t="s">
        <v>196</v>
      </c>
      <c r="B58" s="24">
        <v>112</v>
      </c>
      <c r="C58" s="25">
        <v>4</v>
      </c>
      <c r="D58" s="25">
        <v>1775</v>
      </c>
      <c r="E58" s="27" t="s">
        <v>210</v>
      </c>
      <c r="F58" s="26" t="s">
        <v>212</v>
      </c>
      <c r="G58" s="27">
        <v>12822</v>
      </c>
      <c r="H58" s="28">
        <f t="shared" ref="H58" si="8">G58*1.3</f>
        <v>16668.600000000002</v>
      </c>
      <c r="I58" s="29" t="str">
        <f t="shared" si="2"/>
        <v>Induction motor - Ex. Proof
150 Hp, 112 Kw,  3 Phase
 220/380/440v, 60 Hz
4 Pole - 1775 rpm
Foot mounted - 280MC  Frame
TECO Brand</v>
      </c>
      <c r="J58" s="29" t="s">
        <v>264</v>
      </c>
      <c r="K58" s="29"/>
      <c r="L58" s="5"/>
      <c r="M58" s="5"/>
      <c r="N58" s="5"/>
      <c r="O58" s="5">
        <v>77</v>
      </c>
      <c r="P58" s="5">
        <v>67.5</v>
      </c>
      <c r="Q58" s="5">
        <v>55.5</v>
      </c>
      <c r="R58" s="5">
        <v>1</v>
      </c>
      <c r="S58" s="3">
        <v>6</v>
      </c>
      <c r="T58" s="6">
        <v>5.3999999999999999E-2</v>
      </c>
      <c r="U58" s="3">
        <v>400</v>
      </c>
      <c r="V58" s="3">
        <v>370</v>
      </c>
      <c r="W58" s="6">
        <v>2E-3</v>
      </c>
    </row>
    <row r="59" spans="1:23" ht="38.1" customHeight="1" x14ac:dyDescent="0.25">
      <c r="A59" s="17" t="s">
        <v>175</v>
      </c>
      <c r="B59" s="18"/>
      <c r="C59" s="18"/>
      <c r="D59" s="18"/>
      <c r="E59" s="18"/>
      <c r="F59" s="18"/>
      <c r="G59" s="18"/>
      <c r="H59" s="18"/>
      <c r="I59" s="18"/>
      <c r="J59" s="18"/>
      <c r="K59" s="19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 spans="1:23" ht="99.95" customHeight="1" x14ac:dyDescent="0.25">
      <c r="A60" s="2">
        <v>0.25</v>
      </c>
      <c r="B60" s="2">
        <v>0.18</v>
      </c>
      <c r="C60" s="3">
        <v>4</v>
      </c>
      <c r="D60" s="3">
        <v>1715</v>
      </c>
      <c r="E60" s="21" t="s">
        <v>176</v>
      </c>
      <c r="F60" s="4" t="s">
        <v>45</v>
      </c>
      <c r="G60" s="4">
        <v>10990</v>
      </c>
      <c r="H60" s="23">
        <f>G60*1.3</f>
        <v>14287</v>
      </c>
      <c r="I60" s="16" t="str">
        <f t="shared" ref="I60:I90" si="9">"Induction motor"&amp;" - "&amp;F60&amp;CHAR(10)&amp;A60&amp;" Hp, "&amp;B60&amp;" Kw, "&amp;" 3 Phase"&amp;CHAR(10)&amp;" 220/380/440v, 60 Hz"&amp;CHAR(10)&amp;C60&amp;" Pole - "&amp;D60&amp;" rpm"&amp;CHAR(10)&amp;"Foot mounted - "&amp;E60&amp;"  Frame"&amp;CHAR(10)&amp;"TECO Brand"</f>
        <v>Induction motor - TEFC
0.25 Hp, 0.18 Kw,  3 Phase
 220/380/440v, 60 Hz
4 Pole - 1715 rpm
Foot mounted - A71  Frame
TECO Brand</v>
      </c>
      <c r="J60" s="20" t="s">
        <v>265</v>
      </c>
      <c r="K60" s="16"/>
      <c r="L60" s="5"/>
      <c r="M60" s="5"/>
      <c r="N60" s="5"/>
      <c r="O60" s="5">
        <v>77</v>
      </c>
      <c r="P60" s="5">
        <v>67.5</v>
      </c>
      <c r="Q60" s="5">
        <v>55.5</v>
      </c>
      <c r="R60" s="5">
        <v>1</v>
      </c>
      <c r="S60" s="3">
        <v>6</v>
      </c>
      <c r="T60" s="6">
        <v>5.3999999999999999E-2</v>
      </c>
      <c r="U60" s="3">
        <v>400</v>
      </c>
      <c r="V60" s="3">
        <v>370</v>
      </c>
      <c r="W60" s="6">
        <v>2E-3</v>
      </c>
    </row>
    <row r="61" spans="1:23" ht="99.95" customHeight="1" x14ac:dyDescent="0.25">
      <c r="A61" s="2">
        <v>0.5</v>
      </c>
      <c r="B61" s="2">
        <v>0.37</v>
      </c>
      <c r="C61" s="3">
        <v>4</v>
      </c>
      <c r="D61" s="3">
        <v>1740</v>
      </c>
      <c r="E61" s="4">
        <v>80</v>
      </c>
      <c r="F61" s="4" t="s">
        <v>45</v>
      </c>
      <c r="G61" s="4">
        <v>12822</v>
      </c>
      <c r="H61" s="23">
        <f t="shared" ref="H61:H67" si="10">G61*1.3</f>
        <v>16668.600000000002</v>
      </c>
      <c r="I61" s="16" t="str">
        <f t="shared" si="9"/>
        <v>Induction motor - TEFC
0.5 Hp, 0.37 Kw,  3 Phase
 220/380/440v, 60 Hz
4 Pole - 1740 rpm
Foot mounted - 80  Frame
TECO Brand</v>
      </c>
      <c r="J61" s="16" t="s">
        <v>266</v>
      </c>
      <c r="K61" s="16"/>
      <c r="L61" s="5"/>
      <c r="M61" s="5"/>
      <c r="N61" s="5"/>
      <c r="O61" s="5">
        <v>77</v>
      </c>
      <c r="P61" s="5">
        <v>67.5</v>
      </c>
      <c r="Q61" s="5">
        <v>55.5</v>
      </c>
      <c r="R61" s="5">
        <v>1</v>
      </c>
      <c r="S61" s="3">
        <v>6</v>
      </c>
      <c r="T61" s="6">
        <v>5.3999999999999999E-2</v>
      </c>
      <c r="U61" s="3">
        <v>400</v>
      </c>
      <c r="V61" s="3">
        <v>370</v>
      </c>
      <c r="W61" s="6">
        <v>2E-3</v>
      </c>
    </row>
    <row r="62" spans="1:23" ht="99.95" customHeight="1" x14ac:dyDescent="0.25">
      <c r="A62" s="2">
        <v>0.75</v>
      </c>
      <c r="B62" s="2">
        <v>0.55000000000000004</v>
      </c>
      <c r="C62" s="3">
        <v>4</v>
      </c>
      <c r="D62" s="3">
        <v>1750</v>
      </c>
      <c r="E62" s="21" t="s">
        <v>177</v>
      </c>
      <c r="F62" s="4" t="s">
        <v>45</v>
      </c>
      <c r="G62" s="4">
        <v>15617</v>
      </c>
      <c r="H62" s="23">
        <f t="shared" si="10"/>
        <v>20302.100000000002</v>
      </c>
      <c r="I62" s="16" t="str">
        <f t="shared" si="9"/>
        <v>Induction motor - TEFC
0.75 Hp, 0.55 Kw,  3 Phase
 220/380/440v, 60 Hz
4 Pole - 1750 rpm
Foot mounted - 90S  Frame
TECO Brand</v>
      </c>
      <c r="J62" s="16" t="s">
        <v>267</v>
      </c>
      <c r="K62" s="16"/>
      <c r="L62" s="5"/>
      <c r="M62" s="5"/>
      <c r="N62" s="5"/>
      <c r="O62" s="5">
        <v>77</v>
      </c>
      <c r="P62" s="5">
        <v>67.5</v>
      </c>
      <c r="Q62" s="5">
        <v>55.5</v>
      </c>
      <c r="R62" s="5">
        <v>1</v>
      </c>
      <c r="S62" s="3">
        <v>6</v>
      </c>
      <c r="T62" s="6">
        <v>5.3999999999999999E-2</v>
      </c>
      <c r="U62" s="3">
        <v>400</v>
      </c>
      <c r="V62" s="3">
        <v>370</v>
      </c>
      <c r="W62" s="6">
        <v>2E-3</v>
      </c>
    </row>
    <row r="63" spans="1:23" ht="99.95" customHeight="1" x14ac:dyDescent="0.25">
      <c r="A63" s="2">
        <v>1</v>
      </c>
      <c r="B63" s="2">
        <v>0.75</v>
      </c>
      <c r="C63" s="3">
        <v>4</v>
      </c>
      <c r="D63" s="3">
        <v>1750</v>
      </c>
      <c r="E63" s="21" t="s">
        <v>177</v>
      </c>
      <c r="F63" s="4" t="s">
        <v>45</v>
      </c>
      <c r="G63" s="4">
        <v>19472</v>
      </c>
      <c r="H63" s="23">
        <f t="shared" si="10"/>
        <v>25313.600000000002</v>
      </c>
      <c r="I63" s="16" t="str">
        <f t="shared" si="9"/>
        <v>Induction motor - TEFC
1 Hp, 0.75 Kw,  3 Phase
 220/380/440v, 60 Hz
4 Pole - 1750 rpm
Foot mounted - 90S  Frame
TECO Brand</v>
      </c>
      <c r="J63" s="20" t="s">
        <v>268</v>
      </c>
      <c r="K63" s="16"/>
      <c r="L63" s="5"/>
      <c r="M63" s="5"/>
      <c r="N63" s="5"/>
      <c r="O63" s="5">
        <v>77</v>
      </c>
      <c r="P63" s="5">
        <v>67.5</v>
      </c>
      <c r="Q63" s="5">
        <v>55.5</v>
      </c>
      <c r="R63" s="5">
        <v>1</v>
      </c>
      <c r="S63" s="3">
        <v>6</v>
      </c>
      <c r="T63" s="6">
        <v>5.3999999999999999E-2</v>
      </c>
      <c r="U63" s="3">
        <v>400</v>
      </c>
      <c r="V63" s="3">
        <v>370</v>
      </c>
      <c r="W63" s="6">
        <v>2E-3</v>
      </c>
    </row>
    <row r="64" spans="1:23" ht="99.95" customHeight="1" x14ac:dyDescent="0.25">
      <c r="A64" s="2">
        <v>1.5</v>
      </c>
      <c r="B64" s="2">
        <v>1.1000000000000001</v>
      </c>
      <c r="C64" s="3">
        <v>4</v>
      </c>
      <c r="D64" s="3">
        <v>1750</v>
      </c>
      <c r="E64" s="21" t="s">
        <v>21</v>
      </c>
      <c r="F64" s="4" t="s">
        <v>45</v>
      </c>
      <c r="G64" s="4">
        <v>21015</v>
      </c>
      <c r="H64" s="23">
        <f t="shared" si="10"/>
        <v>27319.5</v>
      </c>
      <c r="I64" s="16" t="str">
        <f t="shared" si="9"/>
        <v>Induction motor - TEFC
1.5 Hp, 1.1 Kw,  3 Phase
 220/380/440v, 60 Hz
4 Pole - 1750 rpm
Foot mounted - 90L  Frame
TECO Brand</v>
      </c>
      <c r="J64" s="20" t="s">
        <v>269</v>
      </c>
      <c r="K64" s="16"/>
      <c r="L64" s="5"/>
      <c r="M64" s="5"/>
      <c r="N64" s="5"/>
      <c r="O64" s="5">
        <v>77</v>
      </c>
      <c r="P64" s="5">
        <v>67.5</v>
      </c>
      <c r="Q64" s="5">
        <v>55.5</v>
      </c>
      <c r="R64" s="5">
        <v>1</v>
      </c>
      <c r="S64" s="3">
        <v>6</v>
      </c>
      <c r="T64" s="6">
        <v>5.3999999999999999E-2</v>
      </c>
      <c r="U64" s="3">
        <v>400</v>
      </c>
      <c r="V64" s="3">
        <v>370</v>
      </c>
      <c r="W64" s="6">
        <v>2E-3</v>
      </c>
    </row>
    <row r="65" spans="1:23" ht="99.95" customHeight="1" x14ac:dyDescent="0.25">
      <c r="A65" s="2">
        <v>2</v>
      </c>
      <c r="B65" s="2">
        <v>1.5</v>
      </c>
      <c r="C65" s="3">
        <v>4</v>
      </c>
      <c r="D65" s="3">
        <v>1760</v>
      </c>
      <c r="E65" s="21" t="s">
        <v>22</v>
      </c>
      <c r="F65" s="4" t="s">
        <v>45</v>
      </c>
      <c r="G65" s="4">
        <v>24678</v>
      </c>
      <c r="H65" s="23">
        <f t="shared" si="10"/>
        <v>32081.4</v>
      </c>
      <c r="I65" s="16" t="str">
        <f t="shared" si="9"/>
        <v>Induction motor - TEFC
2 Hp, 1.5 Kw,  3 Phase
 220/380/440v, 60 Hz
4 Pole - 1760 rpm
Foot mounted - 100L  Frame
TECO Brand</v>
      </c>
      <c r="J65" s="16" t="s">
        <v>270</v>
      </c>
      <c r="K65" s="16"/>
      <c r="L65" s="5"/>
      <c r="M65" s="5"/>
      <c r="N65" s="5"/>
      <c r="O65" s="5">
        <v>77</v>
      </c>
      <c r="P65" s="5">
        <v>67.5</v>
      </c>
      <c r="Q65" s="5">
        <v>55.5</v>
      </c>
      <c r="R65" s="5">
        <v>1</v>
      </c>
      <c r="S65" s="3">
        <v>6</v>
      </c>
      <c r="T65" s="6">
        <v>5.3999999999999999E-2</v>
      </c>
      <c r="U65" s="3">
        <v>400</v>
      </c>
      <c r="V65" s="3">
        <v>370</v>
      </c>
      <c r="W65" s="6">
        <v>2E-3</v>
      </c>
    </row>
    <row r="66" spans="1:23" ht="99.95" customHeight="1" x14ac:dyDescent="0.25">
      <c r="A66" s="2">
        <v>3</v>
      </c>
      <c r="B66" s="2">
        <v>2.2000000000000002</v>
      </c>
      <c r="C66" s="3">
        <v>4</v>
      </c>
      <c r="D66" s="3">
        <v>1760</v>
      </c>
      <c r="E66" s="21" t="s">
        <v>178</v>
      </c>
      <c r="F66" s="4" t="s">
        <v>45</v>
      </c>
      <c r="G66" s="4">
        <v>30656</v>
      </c>
      <c r="H66" s="23">
        <f t="shared" si="10"/>
        <v>39852.800000000003</v>
      </c>
      <c r="I66" s="16" t="str">
        <f t="shared" si="9"/>
        <v>Induction motor - TEFC
3 Hp, 2.2 Kw,  3 Phase
 220/380/440v, 60 Hz
4 Pole - 1760 rpm
Foot mounted - 112S  Frame
TECO Brand</v>
      </c>
      <c r="J66" s="16" t="s">
        <v>271</v>
      </c>
      <c r="K66" s="16"/>
      <c r="L66" s="5"/>
      <c r="M66" s="5"/>
      <c r="N66" s="5"/>
      <c r="O66" s="5">
        <v>77</v>
      </c>
      <c r="P66" s="5">
        <v>67.5</v>
      </c>
      <c r="Q66" s="5">
        <v>55.5</v>
      </c>
      <c r="R66" s="5">
        <v>1</v>
      </c>
      <c r="S66" s="3">
        <v>6</v>
      </c>
      <c r="T66" s="6">
        <v>5.3999999999999999E-2</v>
      </c>
      <c r="U66" s="3">
        <v>400</v>
      </c>
      <c r="V66" s="3">
        <v>370</v>
      </c>
      <c r="W66" s="6">
        <v>2E-3</v>
      </c>
    </row>
    <row r="67" spans="1:23" ht="99.95" customHeight="1" x14ac:dyDescent="0.25">
      <c r="A67" s="2">
        <v>5</v>
      </c>
      <c r="B67" s="2">
        <v>3.7</v>
      </c>
      <c r="C67" s="3">
        <v>4</v>
      </c>
      <c r="D67" s="3">
        <v>1750</v>
      </c>
      <c r="E67" s="21" t="s">
        <v>23</v>
      </c>
      <c r="F67" s="4" t="s">
        <v>45</v>
      </c>
      <c r="G67" s="4">
        <v>34030</v>
      </c>
      <c r="H67" s="23">
        <f t="shared" si="10"/>
        <v>44239</v>
      </c>
      <c r="I67" s="16" t="str">
        <f t="shared" si="9"/>
        <v>Induction motor - TEFC
5 Hp, 3.7 Kw,  3 Phase
 220/380/440v, 60 Hz
4 Pole - 1750 rpm
Foot mounted - 112M  Frame
TECO Brand</v>
      </c>
      <c r="J67" s="16" t="s">
        <v>272</v>
      </c>
      <c r="K67" s="16"/>
      <c r="L67" s="5"/>
      <c r="M67" s="5"/>
      <c r="N67" s="5"/>
      <c r="O67" s="5">
        <v>77</v>
      </c>
      <c r="P67" s="5">
        <v>67.5</v>
      </c>
      <c r="Q67" s="5">
        <v>55.5</v>
      </c>
      <c r="R67" s="5">
        <v>1</v>
      </c>
      <c r="S67" s="3">
        <v>6</v>
      </c>
      <c r="T67" s="6">
        <v>5.3999999999999999E-2</v>
      </c>
      <c r="U67" s="3">
        <v>400</v>
      </c>
      <c r="V67" s="3">
        <v>370</v>
      </c>
      <c r="W67" s="6">
        <v>2E-3</v>
      </c>
    </row>
    <row r="68" spans="1:23" ht="38.1" customHeight="1" x14ac:dyDescent="0.25">
      <c r="A68" s="17" t="s">
        <v>174</v>
      </c>
      <c r="B68" s="18"/>
      <c r="C68" s="18"/>
      <c r="D68" s="18"/>
      <c r="E68" s="18"/>
      <c r="F68" s="18"/>
      <c r="G68" s="18"/>
      <c r="H68" s="18"/>
      <c r="I68" s="18"/>
      <c r="J68" s="18"/>
      <c r="K68" s="19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 spans="1:23" ht="99.95" customHeight="1" x14ac:dyDescent="0.25">
      <c r="A69" s="35">
        <v>0.5</v>
      </c>
      <c r="B69" s="35">
        <v>0.37</v>
      </c>
      <c r="C69" s="36">
        <v>2</v>
      </c>
      <c r="D69" s="36">
        <v>3400</v>
      </c>
      <c r="E69" s="37" t="s">
        <v>19</v>
      </c>
      <c r="F69" s="33" t="s">
        <v>45</v>
      </c>
      <c r="G69" s="33"/>
      <c r="H69" s="33"/>
      <c r="I69" s="34" t="str">
        <f t="shared" si="9"/>
        <v>Induction motor - TEFC
0.5 Hp, 0.37 Kw,  3 Phase
 220/380/440v, 60 Hz
2 Pole - 3400 rpm
Foot mounted - 71  Frame
TECO Brand</v>
      </c>
      <c r="J69" s="34" t="s">
        <v>111</v>
      </c>
      <c r="K69" s="34" t="s">
        <v>49</v>
      </c>
      <c r="L69" s="8">
        <v>75</v>
      </c>
      <c r="M69" s="8">
        <v>74.5</v>
      </c>
      <c r="N69" s="8">
        <v>70</v>
      </c>
      <c r="O69" s="8">
        <v>86</v>
      </c>
      <c r="P69" s="8">
        <v>68.5</v>
      </c>
      <c r="Q69" s="8">
        <v>79</v>
      </c>
      <c r="R69" s="8">
        <v>1.5</v>
      </c>
      <c r="S69" s="7">
        <v>12</v>
      </c>
      <c r="T69" s="9">
        <v>0.107</v>
      </c>
      <c r="U69" s="7">
        <v>340</v>
      </c>
      <c r="V69" s="7">
        <v>310</v>
      </c>
      <c r="W69" s="9">
        <v>2E-3</v>
      </c>
    </row>
    <row r="70" spans="1:23" ht="99.95" customHeight="1" x14ac:dyDescent="0.25">
      <c r="A70" s="31">
        <v>0.5</v>
      </c>
      <c r="B70" s="31">
        <v>0.37</v>
      </c>
      <c r="C70" s="32">
        <v>4</v>
      </c>
      <c r="D70" s="32">
        <v>1680</v>
      </c>
      <c r="E70" s="33" t="s">
        <v>19</v>
      </c>
      <c r="F70" s="33" t="s">
        <v>45</v>
      </c>
      <c r="G70" s="33"/>
      <c r="H70" s="33"/>
      <c r="I70" s="34" t="str">
        <f t="shared" si="9"/>
        <v>Induction motor - TEFC
0.5 Hp, 0.37 Kw,  3 Phase
 220/380/440v, 60 Hz
4 Pole - 1680 rpm
Foot mounted - 71  Frame
TECO Brand</v>
      </c>
      <c r="J70" s="34" t="s">
        <v>112</v>
      </c>
      <c r="K70" s="34" t="s">
        <v>50</v>
      </c>
      <c r="L70" s="5">
        <v>70</v>
      </c>
      <c r="M70" s="5">
        <v>66.5</v>
      </c>
      <c r="N70" s="5">
        <v>60.5</v>
      </c>
      <c r="O70" s="5">
        <v>71</v>
      </c>
      <c r="P70" s="5">
        <v>48</v>
      </c>
      <c r="Q70" s="5">
        <v>60.5</v>
      </c>
      <c r="R70" s="5">
        <v>2</v>
      </c>
      <c r="S70" s="3">
        <v>12</v>
      </c>
      <c r="T70" s="6">
        <v>0.216</v>
      </c>
      <c r="U70" s="3">
        <v>200</v>
      </c>
      <c r="V70" s="3">
        <v>250</v>
      </c>
      <c r="W70" s="6">
        <v>5.0000000000000001E-3</v>
      </c>
    </row>
    <row r="71" spans="1:23" ht="99.95" customHeight="1" x14ac:dyDescent="0.25">
      <c r="A71" s="35">
        <v>0.5</v>
      </c>
      <c r="B71" s="35">
        <v>0.37</v>
      </c>
      <c r="C71" s="36">
        <v>6</v>
      </c>
      <c r="D71" s="36">
        <v>1135</v>
      </c>
      <c r="E71" s="37" t="s">
        <v>20</v>
      </c>
      <c r="F71" s="33" t="s">
        <v>45</v>
      </c>
      <c r="G71" s="33"/>
      <c r="H71" s="33"/>
      <c r="I71" s="34" t="str">
        <f t="shared" si="9"/>
        <v>Induction motor - TEFC
0.5 Hp, 0.37 Kw,  3 Phase
 220/380/440v, 60 Hz
6 Pole - 1135 rpm
Foot mounted - 80  Frame
TECO Brand</v>
      </c>
      <c r="J71" s="34" t="s">
        <v>113</v>
      </c>
      <c r="K71" s="34" t="s">
        <v>51</v>
      </c>
      <c r="L71" s="8">
        <v>68</v>
      </c>
      <c r="M71" s="8">
        <v>64</v>
      </c>
      <c r="N71" s="8">
        <v>57.5</v>
      </c>
      <c r="O71" s="8">
        <v>67</v>
      </c>
      <c r="P71" s="8">
        <v>56</v>
      </c>
      <c r="Q71" s="8">
        <v>45</v>
      </c>
      <c r="R71" s="8">
        <v>2.2000000000000002</v>
      </c>
      <c r="S71" s="7">
        <v>12</v>
      </c>
      <c r="T71" s="9">
        <v>0.32</v>
      </c>
      <c r="U71" s="7">
        <v>200</v>
      </c>
      <c r="V71" s="7">
        <v>240</v>
      </c>
      <c r="W71" s="9">
        <v>8.9999999999999993E-3</v>
      </c>
    </row>
    <row r="72" spans="1:23" ht="99.95" customHeight="1" x14ac:dyDescent="0.25">
      <c r="A72" s="38">
        <v>1</v>
      </c>
      <c r="B72" s="31">
        <v>0.75</v>
      </c>
      <c r="C72" s="32">
        <v>2</v>
      </c>
      <c r="D72" s="32">
        <v>3395</v>
      </c>
      <c r="E72" s="33" t="s">
        <v>20</v>
      </c>
      <c r="F72" s="33" t="s">
        <v>45</v>
      </c>
      <c r="G72" s="33"/>
      <c r="H72" s="33"/>
      <c r="I72" s="34" t="str">
        <f t="shared" si="9"/>
        <v>Induction motor - TEFC
1 Hp, 0.75 Kw,  3 Phase
 220/380/440v, 60 Hz
2 Pole - 3395 rpm
Foot mounted - 80  Frame
TECO Brand</v>
      </c>
      <c r="J72" s="34" t="s">
        <v>114</v>
      </c>
      <c r="K72" s="34" t="s">
        <v>52</v>
      </c>
      <c r="L72" s="5">
        <v>77</v>
      </c>
      <c r="M72" s="5">
        <v>77.5</v>
      </c>
      <c r="N72" s="5">
        <v>75</v>
      </c>
      <c r="O72" s="5">
        <v>87</v>
      </c>
      <c r="P72" s="5">
        <v>83.5</v>
      </c>
      <c r="Q72" s="5">
        <v>73.5</v>
      </c>
      <c r="R72" s="5">
        <v>2.9</v>
      </c>
      <c r="S72" s="3">
        <v>19</v>
      </c>
      <c r="T72" s="6">
        <v>0.214</v>
      </c>
      <c r="U72" s="3">
        <v>220</v>
      </c>
      <c r="V72" s="3">
        <v>280</v>
      </c>
      <c r="W72" s="6">
        <v>5.0000000000000001E-3</v>
      </c>
    </row>
    <row r="73" spans="1:23" ht="99.95" customHeight="1" x14ac:dyDescent="0.25">
      <c r="A73" s="39">
        <v>1</v>
      </c>
      <c r="B73" s="35">
        <v>0.75</v>
      </c>
      <c r="C73" s="36">
        <v>4</v>
      </c>
      <c r="D73" s="36">
        <v>1710</v>
      </c>
      <c r="E73" s="37" t="s">
        <v>20</v>
      </c>
      <c r="F73" s="33" t="s">
        <v>45</v>
      </c>
      <c r="G73" s="33"/>
      <c r="H73" s="33"/>
      <c r="I73" s="34" t="str">
        <f t="shared" si="9"/>
        <v>Induction motor - TEFC
1 Hp, 0.75 Kw,  3 Phase
 220/380/440v, 60 Hz
4 Pole - 1710 rpm
Foot mounted - 80  Frame
TECO Brand</v>
      </c>
      <c r="J73" s="34" t="s">
        <v>115</v>
      </c>
      <c r="K73" s="34" t="s">
        <v>53</v>
      </c>
      <c r="L73" s="8">
        <v>76</v>
      </c>
      <c r="M73" s="8">
        <v>74.5</v>
      </c>
      <c r="N73" s="8">
        <v>70</v>
      </c>
      <c r="O73" s="8">
        <v>76.5</v>
      </c>
      <c r="P73" s="8">
        <v>54.5</v>
      </c>
      <c r="Q73" s="8">
        <v>67.5</v>
      </c>
      <c r="R73" s="8">
        <v>3.4</v>
      </c>
      <c r="S73" s="7">
        <v>19</v>
      </c>
      <c r="T73" s="9">
        <v>0.42399999999999999</v>
      </c>
      <c r="U73" s="7">
        <v>250</v>
      </c>
      <c r="V73" s="7">
        <v>280</v>
      </c>
      <c r="W73" s="9">
        <v>8.9999999999999993E-3</v>
      </c>
    </row>
    <row r="74" spans="1:23" ht="99.95" customHeight="1" x14ac:dyDescent="0.25">
      <c r="A74" s="38">
        <v>1</v>
      </c>
      <c r="B74" s="31">
        <v>0.75</v>
      </c>
      <c r="C74" s="32">
        <v>6</v>
      </c>
      <c r="D74" s="32">
        <v>1140</v>
      </c>
      <c r="E74" s="33" t="s">
        <v>21</v>
      </c>
      <c r="F74" s="33" t="s">
        <v>45</v>
      </c>
      <c r="G74" s="33"/>
      <c r="H74" s="33"/>
      <c r="I74" s="34" t="str">
        <f t="shared" si="9"/>
        <v>Induction motor - TEFC
1 Hp, 0.75 Kw,  3 Phase
 220/380/440v, 60 Hz
6 Pole - 1140 rpm
Foot mounted - 90L  Frame
TECO Brand</v>
      </c>
      <c r="J74" s="34" t="s">
        <v>116</v>
      </c>
      <c r="K74" s="34" t="s">
        <v>54</v>
      </c>
      <c r="L74" s="5">
        <v>76</v>
      </c>
      <c r="M74" s="5">
        <v>75.5</v>
      </c>
      <c r="N74" s="5">
        <v>71.5</v>
      </c>
      <c r="O74" s="5">
        <v>71</v>
      </c>
      <c r="P74" s="5">
        <v>50</v>
      </c>
      <c r="Q74" s="5">
        <v>62.5</v>
      </c>
      <c r="R74" s="5">
        <v>3.6</v>
      </c>
      <c r="S74" s="3">
        <v>19</v>
      </c>
      <c r="T74" s="6">
        <v>0.63700000000000001</v>
      </c>
      <c r="U74" s="3">
        <v>200</v>
      </c>
      <c r="V74" s="3">
        <v>240</v>
      </c>
      <c r="W74" s="6">
        <v>1.7000000000000001E-2</v>
      </c>
    </row>
    <row r="75" spans="1:23" ht="99.95" customHeight="1" x14ac:dyDescent="0.25">
      <c r="A75" s="39">
        <v>2</v>
      </c>
      <c r="B75" s="35">
        <v>1.5</v>
      </c>
      <c r="C75" s="36">
        <v>2</v>
      </c>
      <c r="D75" s="36">
        <v>3425</v>
      </c>
      <c r="E75" s="37" t="s">
        <v>21</v>
      </c>
      <c r="F75" s="33" t="s">
        <v>45</v>
      </c>
      <c r="G75" s="33"/>
      <c r="H75" s="33"/>
      <c r="I75" s="34" t="str">
        <f t="shared" si="9"/>
        <v>Induction motor - TEFC
2 Hp, 1.5 Kw,  3 Phase
 220/380/440v, 60 Hz
2 Pole - 3425 rpm
Foot mounted - 90L  Frame
TECO Brand</v>
      </c>
      <c r="J75" s="34" t="s">
        <v>117</v>
      </c>
      <c r="K75" s="34" t="s">
        <v>55</v>
      </c>
      <c r="L75" s="8">
        <v>80</v>
      </c>
      <c r="M75" s="8">
        <v>81.5</v>
      </c>
      <c r="N75" s="8">
        <v>80</v>
      </c>
      <c r="O75" s="8">
        <v>89</v>
      </c>
      <c r="P75" s="8">
        <v>74.5</v>
      </c>
      <c r="Q75" s="8">
        <v>83</v>
      </c>
      <c r="R75" s="8">
        <v>5.5</v>
      </c>
      <c r="S75" s="7">
        <v>40</v>
      </c>
      <c r="T75" s="9">
        <v>0.42399999999999999</v>
      </c>
      <c r="U75" s="7">
        <v>250</v>
      </c>
      <c r="V75" s="7">
        <v>280</v>
      </c>
      <c r="W75" s="9">
        <v>0.01</v>
      </c>
    </row>
    <row r="76" spans="1:23" ht="99.95" customHeight="1" x14ac:dyDescent="0.25">
      <c r="A76" s="38">
        <v>2</v>
      </c>
      <c r="B76" s="31">
        <v>1.5</v>
      </c>
      <c r="C76" s="32">
        <v>4</v>
      </c>
      <c r="D76" s="32">
        <v>1715</v>
      </c>
      <c r="E76" s="33" t="s">
        <v>21</v>
      </c>
      <c r="F76" s="33" t="s">
        <v>45</v>
      </c>
      <c r="G76" s="33"/>
      <c r="H76" s="33"/>
      <c r="I76" s="34" t="str">
        <f t="shared" si="9"/>
        <v>Induction motor - TEFC
2 Hp, 1.5 Kw,  3 Phase
 220/380/440v, 60 Hz
4 Pole - 1715 rpm
Foot mounted - 90L  Frame
TECO Brand</v>
      </c>
      <c r="J76" s="34" t="s">
        <v>118</v>
      </c>
      <c r="K76" s="34" t="s">
        <v>56</v>
      </c>
      <c r="L76" s="5">
        <v>79</v>
      </c>
      <c r="M76" s="5">
        <v>79</v>
      </c>
      <c r="N76" s="5">
        <v>75</v>
      </c>
      <c r="O76" s="5">
        <v>81</v>
      </c>
      <c r="P76" s="5">
        <v>57</v>
      </c>
      <c r="Q76" s="5">
        <v>70.5</v>
      </c>
      <c r="R76" s="5">
        <v>6.1</v>
      </c>
      <c r="S76" s="3">
        <v>40</v>
      </c>
      <c r="T76" s="6">
        <v>0.84599999999999997</v>
      </c>
      <c r="U76" s="3">
        <v>220</v>
      </c>
      <c r="V76" s="3">
        <v>280</v>
      </c>
      <c r="W76" s="6">
        <v>1.7000000000000001E-2</v>
      </c>
    </row>
    <row r="77" spans="1:23" ht="99.95" customHeight="1" x14ac:dyDescent="0.25">
      <c r="A77" s="39">
        <v>2</v>
      </c>
      <c r="B77" s="35">
        <v>1.5</v>
      </c>
      <c r="C77" s="36">
        <v>6</v>
      </c>
      <c r="D77" s="36">
        <v>1140</v>
      </c>
      <c r="E77" s="37" t="s">
        <v>22</v>
      </c>
      <c r="F77" s="33" t="s">
        <v>45</v>
      </c>
      <c r="G77" s="33"/>
      <c r="H77" s="33"/>
      <c r="I77" s="34" t="str">
        <f t="shared" si="9"/>
        <v>Induction motor - TEFC
2 Hp, 1.5 Kw,  3 Phase
 220/380/440v, 60 Hz
6 Pole - 1140 rpm
Foot mounted - 100L  Frame
TECO Brand</v>
      </c>
      <c r="J77" s="34" t="s">
        <v>119</v>
      </c>
      <c r="K77" s="34" t="s">
        <v>57</v>
      </c>
      <c r="L77" s="8">
        <v>78</v>
      </c>
      <c r="M77" s="8">
        <v>77.5</v>
      </c>
      <c r="N77" s="8">
        <v>74</v>
      </c>
      <c r="O77" s="8">
        <v>74</v>
      </c>
      <c r="P77" s="8">
        <v>54</v>
      </c>
      <c r="Q77" s="8">
        <v>66</v>
      </c>
      <c r="R77" s="8">
        <v>6.8</v>
      </c>
      <c r="S77" s="7">
        <v>40</v>
      </c>
      <c r="T77" s="9">
        <v>1.2729999999999999</v>
      </c>
      <c r="U77" s="7">
        <v>180</v>
      </c>
      <c r="V77" s="7">
        <v>220</v>
      </c>
      <c r="W77" s="9">
        <v>3.3000000000000002E-2</v>
      </c>
    </row>
    <row r="78" spans="1:23" ht="99.95" customHeight="1" x14ac:dyDescent="0.25">
      <c r="A78" s="38">
        <v>3</v>
      </c>
      <c r="B78" s="31">
        <v>2.2000000000000002</v>
      </c>
      <c r="C78" s="32">
        <v>2</v>
      </c>
      <c r="D78" s="32">
        <v>3450</v>
      </c>
      <c r="E78" s="33" t="s">
        <v>21</v>
      </c>
      <c r="F78" s="33" t="s">
        <v>45</v>
      </c>
      <c r="G78" s="33"/>
      <c r="H78" s="33"/>
      <c r="I78" s="34" t="str">
        <f t="shared" si="9"/>
        <v>Induction motor - TEFC
3 Hp, 2.2 Kw,  3 Phase
 220/380/440v, 60 Hz
2 Pole - 3450 rpm
Foot mounted - 90L  Frame
TECO Brand</v>
      </c>
      <c r="J78" s="34" t="s">
        <v>120</v>
      </c>
      <c r="K78" s="34" t="s">
        <v>58</v>
      </c>
      <c r="L78" s="5">
        <v>82</v>
      </c>
      <c r="M78" s="5">
        <v>84.5</v>
      </c>
      <c r="N78" s="5">
        <v>82</v>
      </c>
      <c r="O78" s="5">
        <v>89</v>
      </c>
      <c r="P78" s="5">
        <v>85.5</v>
      </c>
      <c r="Q78" s="5">
        <v>76.5</v>
      </c>
      <c r="R78" s="5">
        <v>8</v>
      </c>
      <c r="S78" s="3">
        <v>68</v>
      </c>
      <c r="T78" s="6">
        <v>0.63100000000000001</v>
      </c>
      <c r="U78" s="3">
        <v>230</v>
      </c>
      <c r="V78" s="3">
        <v>280</v>
      </c>
      <c r="W78" s="6">
        <v>1.4999999999999999E-2</v>
      </c>
    </row>
    <row r="79" spans="1:23" ht="99.95" customHeight="1" x14ac:dyDescent="0.25">
      <c r="A79" s="39">
        <v>3</v>
      </c>
      <c r="B79" s="35">
        <v>2.2000000000000002</v>
      </c>
      <c r="C79" s="36">
        <v>4</v>
      </c>
      <c r="D79" s="36">
        <v>1735</v>
      </c>
      <c r="E79" s="37" t="s">
        <v>22</v>
      </c>
      <c r="F79" s="33" t="s">
        <v>45</v>
      </c>
      <c r="G79" s="33"/>
      <c r="H79" s="33"/>
      <c r="I79" s="34" t="str">
        <f t="shared" si="9"/>
        <v>Induction motor - TEFC
3 Hp, 2.2 Kw,  3 Phase
 220/380/440v, 60 Hz
4 Pole - 1735 rpm
Foot mounted - 100L  Frame
TECO Brand</v>
      </c>
      <c r="J79" s="34" t="s">
        <v>121</v>
      </c>
      <c r="K79" s="34" t="s">
        <v>59</v>
      </c>
      <c r="L79" s="8">
        <v>82</v>
      </c>
      <c r="M79" s="8">
        <v>83.5</v>
      </c>
      <c r="N79" s="8">
        <v>80.5</v>
      </c>
      <c r="O79" s="8">
        <v>82.5</v>
      </c>
      <c r="P79" s="8">
        <v>66.5</v>
      </c>
      <c r="Q79" s="8">
        <v>78.5</v>
      </c>
      <c r="R79" s="8">
        <v>8.6999999999999993</v>
      </c>
      <c r="S79" s="7">
        <v>68</v>
      </c>
      <c r="T79" s="9">
        <v>1.2549999999999999</v>
      </c>
      <c r="U79" s="7">
        <v>210</v>
      </c>
      <c r="V79" s="7">
        <v>260</v>
      </c>
      <c r="W79" s="9">
        <v>3.3000000000000002E-2</v>
      </c>
    </row>
    <row r="80" spans="1:23" ht="99.95" customHeight="1" x14ac:dyDescent="0.25">
      <c r="A80" s="38">
        <v>3</v>
      </c>
      <c r="B80" s="31">
        <v>2.2000000000000002</v>
      </c>
      <c r="C80" s="32">
        <v>6</v>
      </c>
      <c r="D80" s="32">
        <v>1160</v>
      </c>
      <c r="E80" s="33" t="s">
        <v>23</v>
      </c>
      <c r="F80" s="33" t="s">
        <v>45</v>
      </c>
      <c r="G80" s="33"/>
      <c r="H80" s="33"/>
      <c r="I80" s="34" t="str">
        <f t="shared" si="9"/>
        <v>Induction motor - TEFC
3 Hp, 2.2 Kw,  3 Phase
 220/380/440v, 60 Hz
6 Pole - 1160 rpm
Foot mounted - 112M  Frame
TECO Brand</v>
      </c>
      <c r="J80" s="34" t="s">
        <v>122</v>
      </c>
      <c r="K80" s="34" t="s">
        <v>60</v>
      </c>
      <c r="L80" s="5">
        <v>82</v>
      </c>
      <c r="M80" s="5">
        <v>82</v>
      </c>
      <c r="N80" s="5">
        <v>78.5</v>
      </c>
      <c r="O80" s="5">
        <v>77</v>
      </c>
      <c r="P80" s="5">
        <v>56</v>
      </c>
      <c r="Q80" s="5">
        <v>67.5</v>
      </c>
      <c r="R80" s="5">
        <v>9.3000000000000007</v>
      </c>
      <c r="S80" s="3">
        <v>68</v>
      </c>
      <c r="T80" s="6">
        <v>1.877</v>
      </c>
      <c r="U80" s="3">
        <v>180</v>
      </c>
      <c r="V80" s="3">
        <v>270</v>
      </c>
      <c r="W80" s="6">
        <v>5.8999999999999997E-2</v>
      </c>
    </row>
    <row r="81" spans="1:23" ht="99.95" customHeight="1" x14ac:dyDescent="0.25">
      <c r="A81" s="39">
        <v>5</v>
      </c>
      <c r="B81" s="35">
        <v>3.7</v>
      </c>
      <c r="C81" s="36">
        <v>2</v>
      </c>
      <c r="D81" s="36">
        <v>3485</v>
      </c>
      <c r="E81" s="37" t="s">
        <v>23</v>
      </c>
      <c r="F81" s="33" t="s">
        <v>45</v>
      </c>
      <c r="G81" s="33"/>
      <c r="H81" s="33"/>
      <c r="I81" s="34" t="str">
        <f t="shared" si="9"/>
        <v>Induction motor - TEFC
5 Hp, 3.7 Kw,  3 Phase
 220/380/440v, 60 Hz
2 Pole - 3485 rpm
Foot mounted - 112M  Frame
TECO Brand</v>
      </c>
      <c r="J81" s="34" t="s">
        <v>123</v>
      </c>
      <c r="K81" s="34" t="s">
        <v>61</v>
      </c>
      <c r="L81" s="8">
        <v>84.5</v>
      </c>
      <c r="M81" s="8">
        <v>86</v>
      </c>
      <c r="N81" s="8">
        <v>83.5</v>
      </c>
      <c r="O81" s="8">
        <v>90</v>
      </c>
      <c r="P81" s="8">
        <v>82</v>
      </c>
      <c r="Q81" s="8">
        <v>88.5</v>
      </c>
      <c r="R81" s="8">
        <v>12.9</v>
      </c>
      <c r="S81" s="7">
        <v>110</v>
      </c>
      <c r="T81" s="9">
        <v>1.0409999999999999</v>
      </c>
      <c r="U81" s="7">
        <v>240</v>
      </c>
      <c r="V81" s="7">
        <v>340</v>
      </c>
      <c r="W81" s="9">
        <v>3.7999999999999999E-2</v>
      </c>
    </row>
    <row r="82" spans="1:23" ht="99.95" customHeight="1" x14ac:dyDescent="0.25">
      <c r="A82" s="38">
        <v>5</v>
      </c>
      <c r="B82" s="31">
        <v>3.7</v>
      </c>
      <c r="C82" s="32">
        <v>4</v>
      </c>
      <c r="D82" s="32">
        <v>1745</v>
      </c>
      <c r="E82" s="33" t="s">
        <v>23</v>
      </c>
      <c r="F82" s="33" t="s">
        <v>45</v>
      </c>
      <c r="G82" s="33"/>
      <c r="H82" s="33"/>
      <c r="I82" s="34" t="str">
        <f t="shared" si="9"/>
        <v>Induction motor - TEFC
5 Hp, 3.7 Kw,  3 Phase
 220/380/440v, 60 Hz
4 Pole - 1745 rpm
Foot mounted - 112M  Frame
TECO Brand</v>
      </c>
      <c r="J82" s="34" t="s">
        <v>124</v>
      </c>
      <c r="K82" s="34" t="s">
        <v>62</v>
      </c>
      <c r="L82" s="5">
        <v>85</v>
      </c>
      <c r="M82" s="5">
        <v>85.5</v>
      </c>
      <c r="N82" s="5">
        <v>83</v>
      </c>
      <c r="O82" s="5">
        <v>85</v>
      </c>
      <c r="P82" s="5">
        <v>70</v>
      </c>
      <c r="Q82" s="5">
        <v>80</v>
      </c>
      <c r="R82" s="5">
        <v>13.5</v>
      </c>
      <c r="S82" s="3">
        <v>110</v>
      </c>
      <c r="T82" s="6">
        <v>2.08</v>
      </c>
      <c r="U82" s="3">
        <v>220</v>
      </c>
      <c r="V82" s="3">
        <v>300</v>
      </c>
      <c r="W82" s="6">
        <v>5.8999999999999997E-2</v>
      </c>
    </row>
    <row r="83" spans="1:23" ht="99.95" customHeight="1" x14ac:dyDescent="0.25">
      <c r="A83" s="39">
        <v>5</v>
      </c>
      <c r="B83" s="35">
        <v>3.7</v>
      </c>
      <c r="C83" s="36">
        <v>6</v>
      </c>
      <c r="D83" s="36">
        <v>1160</v>
      </c>
      <c r="E83" s="37" t="s">
        <v>24</v>
      </c>
      <c r="F83" s="33" t="s">
        <v>45</v>
      </c>
      <c r="G83" s="33"/>
      <c r="H83" s="33"/>
      <c r="I83" s="34" t="str">
        <f t="shared" si="9"/>
        <v>Induction motor - TEFC
5 Hp, 3.7 Kw,  3 Phase
 220/380/440v, 60 Hz
6 Pole - 1160 rpm
Foot mounted - 132S  Frame
TECO Brand</v>
      </c>
      <c r="J83" s="34" t="s">
        <v>125</v>
      </c>
      <c r="K83" s="34" t="s">
        <v>63</v>
      </c>
      <c r="L83" s="8">
        <v>84</v>
      </c>
      <c r="M83" s="8">
        <v>83</v>
      </c>
      <c r="N83" s="8">
        <v>79.5</v>
      </c>
      <c r="O83" s="8">
        <v>77</v>
      </c>
      <c r="P83" s="8">
        <v>69.5</v>
      </c>
      <c r="Q83" s="8">
        <v>58</v>
      </c>
      <c r="R83" s="8">
        <v>15.1</v>
      </c>
      <c r="S83" s="7">
        <v>110</v>
      </c>
      <c r="T83" s="9">
        <v>3.129</v>
      </c>
      <c r="U83" s="7">
        <v>180</v>
      </c>
      <c r="V83" s="7">
        <v>230</v>
      </c>
      <c r="W83" s="9">
        <v>0.151</v>
      </c>
    </row>
    <row r="84" spans="1:23" ht="99.95" customHeight="1" x14ac:dyDescent="0.25">
      <c r="A84" s="31">
        <v>7.5</v>
      </c>
      <c r="B84" s="31">
        <v>5.5</v>
      </c>
      <c r="C84" s="32">
        <v>2</v>
      </c>
      <c r="D84" s="32">
        <v>3505</v>
      </c>
      <c r="E84" s="33" t="s">
        <v>24</v>
      </c>
      <c r="F84" s="33" t="s">
        <v>45</v>
      </c>
      <c r="G84" s="33"/>
      <c r="H84" s="33"/>
      <c r="I84" s="34" t="str">
        <f t="shared" si="9"/>
        <v>Induction motor - TEFC
7.5 Hp, 5.5 Kw,  3 Phase
 220/380/440v, 60 Hz
2 Pole - 3505 rpm
Foot mounted - 132S  Frame
TECO Brand</v>
      </c>
      <c r="J84" s="34" t="s">
        <v>126</v>
      </c>
      <c r="K84" s="34" t="s">
        <v>64</v>
      </c>
      <c r="L84" s="5">
        <v>85</v>
      </c>
      <c r="M84" s="5">
        <v>86.5</v>
      </c>
      <c r="N84" s="5">
        <v>84</v>
      </c>
      <c r="O84" s="5">
        <v>90</v>
      </c>
      <c r="P84" s="5">
        <v>81.5</v>
      </c>
      <c r="Q84" s="5">
        <v>86.5</v>
      </c>
      <c r="R84" s="5">
        <v>19.2</v>
      </c>
      <c r="S84" s="3">
        <v>160</v>
      </c>
      <c r="T84" s="6">
        <v>1.5529999999999999</v>
      </c>
      <c r="U84" s="3">
        <v>220</v>
      </c>
      <c r="V84" s="3">
        <v>260</v>
      </c>
      <c r="W84" s="6">
        <v>6.3E-2</v>
      </c>
    </row>
    <row r="85" spans="1:23" ht="99.95" customHeight="1" x14ac:dyDescent="0.25">
      <c r="A85" s="35">
        <v>7.5</v>
      </c>
      <c r="B85" s="35">
        <v>5.5</v>
      </c>
      <c r="C85" s="36">
        <v>4</v>
      </c>
      <c r="D85" s="36">
        <v>1750</v>
      </c>
      <c r="E85" s="37" t="s">
        <v>24</v>
      </c>
      <c r="F85" s="33" t="s">
        <v>45</v>
      </c>
      <c r="G85" s="33"/>
      <c r="H85" s="33"/>
      <c r="I85" s="34" t="str">
        <f t="shared" si="9"/>
        <v>Induction motor - TEFC
7.5 Hp, 5.5 Kw,  3 Phase
 220/380/440v, 60 Hz
4 Pole - 1750 rpm
Foot mounted - 132S  Frame
TECO Brand</v>
      </c>
      <c r="J85" s="34" t="s">
        <v>127</v>
      </c>
      <c r="K85" s="34" t="s">
        <v>65</v>
      </c>
      <c r="L85" s="8">
        <v>87</v>
      </c>
      <c r="M85" s="8">
        <v>87</v>
      </c>
      <c r="N85" s="8">
        <v>85</v>
      </c>
      <c r="O85" s="8">
        <v>84</v>
      </c>
      <c r="P85" s="8">
        <v>68.5</v>
      </c>
      <c r="Q85" s="8">
        <v>78.5</v>
      </c>
      <c r="R85" s="8">
        <v>20.100000000000001</v>
      </c>
      <c r="S85" s="7">
        <v>160</v>
      </c>
      <c r="T85" s="9">
        <v>3.1110000000000002</v>
      </c>
      <c r="U85" s="7">
        <v>230</v>
      </c>
      <c r="V85" s="7">
        <v>280</v>
      </c>
      <c r="W85" s="9">
        <v>0.104</v>
      </c>
    </row>
    <row r="86" spans="1:23" ht="99.95" customHeight="1" x14ac:dyDescent="0.25">
      <c r="A86" s="31">
        <v>7.5</v>
      </c>
      <c r="B86" s="31">
        <v>5.5</v>
      </c>
      <c r="C86" s="32">
        <v>6</v>
      </c>
      <c r="D86" s="32">
        <v>1160</v>
      </c>
      <c r="E86" s="33" t="s">
        <v>25</v>
      </c>
      <c r="F86" s="33" t="s">
        <v>45</v>
      </c>
      <c r="G86" s="33"/>
      <c r="H86" s="33"/>
      <c r="I86" s="34" t="str">
        <f t="shared" si="9"/>
        <v>Induction motor - TEFC
7.5 Hp, 5.5 Kw,  3 Phase
 220/380/440v, 60 Hz
6 Pole - 1160 rpm
Foot mounted - 132M  Frame
TECO Brand</v>
      </c>
      <c r="J86" s="34" t="s">
        <v>128</v>
      </c>
      <c r="K86" s="34" t="s">
        <v>66</v>
      </c>
      <c r="L86" s="5">
        <v>85</v>
      </c>
      <c r="M86" s="5">
        <v>86</v>
      </c>
      <c r="N86" s="5">
        <v>83.5</v>
      </c>
      <c r="O86" s="5">
        <v>77.5</v>
      </c>
      <c r="P86" s="5">
        <v>60.5</v>
      </c>
      <c r="Q86" s="5">
        <v>72</v>
      </c>
      <c r="R86" s="5">
        <v>22.3</v>
      </c>
      <c r="S86" s="3">
        <v>160</v>
      </c>
      <c r="T86" s="6">
        <v>4.6929999999999996</v>
      </c>
      <c r="U86" s="3">
        <v>200</v>
      </c>
      <c r="V86" s="3">
        <v>230</v>
      </c>
      <c r="W86" s="6">
        <v>0.217</v>
      </c>
    </row>
    <row r="87" spans="1:23" ht="99.95" customHeight="1" x14ac:dyDescent="0.25">
      <c r="A87" s="39">
        <v>10</v>
      </c>
      <c r="B87" s="35">
        <v>7.5</v>
      </c>
      <c r="C87" s="36">
        <v>2</v>
      </c>
      <c r="D87" s="36">
        <v>3510</v>
      </c>
      <c r="E87" s="37" t="s">
        <v>24</v>
      </c>
      <c r="F87" s="33" t="s">
        <v>45</v>
      </c>
      <c r="G87" s="33"/>
      <c r="H87" s="33"/>
      <c r="I87" s="34" t="str">
        <f t="shared" si="9"/>
        <v>Induction motor - TEFC
10 Hp, 7.5 Kw,  3 Phase
 220/380/440v, 60 Hz
2 Pole - 3510 rpm
Foot mounted - 132S  Frame
TECO Brand</v>
      </c>
      <c r="J87" s="34" t="s">
        <v>129</v>
      </c>
      <c r="K87" s="34" t="s">
        <v>67</v>
      </c>
      <c r="L87" s="8">
        <v>86.5</v>
      </c>
      <c r="M87" s="8">
        <v>88</v>
      </c>
      <c r="N87" s="8">
        <v>85.5</v>
      </c>
      <c r="O87" s="8">
        <v>90</v>
      </c>
      <c r="P87" s="8">
        <v>81</v>
      </c>
      <c r="Q87" s="8">
        <v>87</v>
      </c>
      <c r="R87" s="8">
        <v>25.1</v>
      </c>
      <c r="S87" s="7">
        <v>200</v>
      </c>
      <c r="T87" s="9">
        <v>2.0680000000000001</v>
      </c>
      <c r="U87" s="7">
        <v>200</v>
      </c>
      <c r="V87" s="7">
        <v>270</v>
      </c>
      <c r="W87" s="9">
        <v>7.5999999999999998E-2</v>
      </c>
    </row>
    <row r="88" spans="1:23" ht="99.95" customHeight="1" x14ac:dyDescent="0.25">
      <c r="A88" s="38">
        <v>10</v>
      </c>
      <c r="B88" s="31">
        <v>7.5</v>
      </c>
      <c r="C88" s="32">
        <v>4</v>
      </c>
      <c r="D88" s="32">
        <v>1750</v>
      </c>
      <c r="E88" s="33" t="s">
        <v>25</v>
      </c>
      <c r="F88" s="33" t="s">
        <v>45</v>
      </c>
      <c r="G88" s="33"/>
      <c r="H88" s="33"/>
      <c r="I88" s="34" t="str">
        <f t="shared" si="9"/>
        <v>Induction motor - TEFC
10 Hp, 7.5 Kw,  3 Phase
 220/380/440v, 60 Hz
4 Pole - 1750 rpm
Foot mounted - 132M  Frame
TECO Brand</v>
      </c>
      <c r="J88" s="34" t="s">
        <v>130</v>
      </c>
      <c r="K88" s="34" t="s">
        <v>68</v>
      </c>
      <c r="L88" s="5">
        <v>88.5</v>
      </c>
      <c r="M88" s="5">
        <v>89</v>
      </c>
      <c r="N88" s="5">
        <v>87.5</v>
      </c>
      <c r="O88" s="5">
        <v>88</v>
      </c>
      <c r="P88" s="5">
        <v>76</v>
      </c>
      <c r="Q88" s="5">
        <v>85.5</v>
      </c>
      <c r="R88" s="5">
        <v>25.1</v>
      </c>
      <c r="S88" s="3">
        <v>200</v>
      </c>
      <c r="T88" s="6">
        <v>4.1479999999999997</v>
      </c>
      <c r="U88" s="3">
        <v>220</v>
      </c>
      <c r="V88" s="3">
        <v>250</v>
      </c>
      <c r="W88" s="6">
        <v>0.14299999999999999</v>
      </c>
    </row>
    <row r="89" spans="1:23" ht="99.95" customHeight="1" x14ac:dyDescent="0.25">
      <c r="A89" s="39">
        <v>10</v>
      </c>
      <c r="B89" s="35">
        <v>7.5</v>
      </c>
      <c r="C89" s="36">
        <v>6</v>
      </c>
      <c r="D89" s="36">
        <v>1175</v>
      </c>
      <c r="E89" s="37" t="s">
        <v>26</v>
      </c>
      <c r="F89" s="33" t="s">
        <v>45</v>
      </c>
      <c r="G89" s="33"/>
      <c r="H89" s="33"/>
      <c r="I89" s="34" t="str">
        <f t="shared" si="9"/>
        <v>Induction motor - TEFC
10 Hp, 7.5 Kw,  3 Phase
 220/380/440v, 60 Hz
6 Pole - 1175 rpm
Foot mounted - 160M  Frame
TECO Brand</v>
      </c>
      <c r="J89" s="34" t="s">
        <v>131</v>
      </c>
      <c r="K89" s="34" t="s">
        <v>69</v>
      </c>
      <c r="L89" s="8">
        <v>87</v>
      </c>
      <c r="M89" s="8">
        <v>86</v>
      </c>
      <c r="N89" s="8">
        <v>84</v>
      </c>
      <c r="O89" s="8">
        <v>80</v>
      </c>
      <c r="P89" s="8">
        <v>68</v>
      </c>
      <c r="Q89" s="8">
        <v>62.5</v>
      </c>
      <c r="R89" s="8">
        <v>28.1</v>
      </c>
      <c r="S89" s="7">
        <v>200</v>
      </c>
      <c r="T89" s="9">
        <v>6.1779999999999999</v>
      </c>
      <c r="U89" s="7">
        <v>280</v>
      </c>
      <c r="V89" s="7">
        <v>300</v>
      </c>
      <c r="W89" s="9">
        <v>0.4</v>
      </c>
    </row>
    <row r="90" spans="1:23" ht="99.95" customHeight="1" x14ac:dyDescent="0.25">
      <c r="A90" s="38">
        <v>15</v>
      </c>
      <c r="B90" s="38">
        <v>11</v>
      </c>
      <c r="C90" s="32">
        <v>2</v>
      </c>
      <c r="D90" s="32">
        <v>3540</v>
      </c>
      <c r="E90" s="33" t="s">
        <v>26</v>
      </c>
      <c r="F90" s="33" t="s">
        <v>45</v>
      </c>
      <c r="G90" s="33"/>
      <c r="H90" s="33"/>
      <c r="I90" s="34" t="str">
        <f t="shared" si="9"/>
        <v>Induction motor - TEFC
15 Hp, 11 Kw,  3 Phase
 220/380/440v, 60 Hz
2 Pole - 3540 rpm
Foot mounted - 160M  Frame
TECO Brand</v>
      </c>
      <c r="J90" s="34" t="s">
        <v>132</v>
      </c>
      <c r="K90" s="34" t="s">
        <v>70</v>
      </c>
      <c r="L90" s="5">
        <v>88</v>
      </c>
      <c r="M90" s="5">
        <v>87.5</v>
      </c>
      <c r="N90" s="5">
        <v>86.5</v>
      </c>
      <c r="O90" s="5">
        <v>90</v>
      </c>
      <c r="P90" s="5">
        <v>88</v>
      </c>
      <c r="Q90" s="5">
        <v>84</v>
      </c>
      <c r="R90" s="5">
        <v>37.1</v>
      </c>
      <c r="S90" s="3">
        <v>290</v>
      </c>
      <c r="T90" s="6">
        <v>3.0760000000000001</v>
      </c>
      <c r="U90" s="3">
        <v>220</v>
      </c>
      <c r="V90" s="3">
        <v>300</v>
      </c>
      <c r="W90" s="6">
        <v>0.14699999999999999</v>
      </c>
    </row>
    <row r="91" spans="1:23" ht="99.95" customHeight="1" x14ac:dyDescent="0.25">
      <c r="A91" s="39">
        <v>15</v>
      </c>
      <c r="B91" s="39">
        <v>11</v>
      </c>
      <c r="C91" s="36">
        <v>4</v>
      </c>
      <c r="D91" s="36">
        <v>1760</v>
      </c>
      <c r="E91" s="37" t="s">
        <v>26</v>
      </c>
      <c r="F91" s="33" t="s">
        <v>45</v>
      </c>
      <c r="G91" s="33"/>
      <c r="H91" s="33"/>
      <c r="I91" s="34" t="str">
        <f t="shared" ref="I91:I130" si="11">"Induction motor"&amp;" - "&amp;F91&amp;CHAR(10)&amp;A91&amp;" Hp, "&amp;B91&amp;" Kw, "&amp;" 3 Phase"&amp;CHAR(10)&amp;" 220/380/440v, 60 Hz"&amp;CHAR(10)&amp;C91&amp;" Pole - "&amp;D91&amp;" rpm"&amp;CHAR(10)&amp;"Foot mounted - "&amp;E91&amp;"  Frame"&amp;CHAR(10)&amp;"TECO Brand"</f>
        <v>Induction motor - TEFC
15 Hp, 11 Kw,  3 Phase
 220/380/440v, 60 Hz
4 Pole - 1760 rpm
Foot mounted - 160M  Frame
TECO Brand</v>
      </c>
      <c r="J91" s="34" t="s">
        <v>133</v>
      </c>
      <c r="K91" s="34" t="s">
        <v>71</v>
      </c>
      <c r="L91" s="8">
        <v>90</v>
      </c>
      <c r="M91" s="8">
        <v>89.5</v>
      </c>
      <c r="N91" s="8">
        <v>88</v>
      </c>
      <c r="O91" s="8">
        <v>89</v>
      </c>
      <c r="P91" s="8">
        <v>86</v>
      </c>
      <c r="Q91" s="8">
        <v>78.5</v>
      </c>
      <c r="R91" s="8">
        <v>36.700000000000003</v>
      </c>
      <c r="S91" s="7">
        <v>290</v>
      </c>
      <c r="T91" s="9">
        <v>6.1859999999999999</v>
      </c>
      <c r="U91" s="7">
        <v>220</v>
      </c>
      <c r="V91" s="7">
        <v>250</v>
      </c>
      <c r="W91" s="9">
        <v>0.29699999999999999</v>
      </c>
    </row>
    <row r="92" spans="1:23" ht="99.95" customHeight="1" x14ac:dyDescent="0.25">
      <c r="A92" s="38">
        <v>15</v>
      </c>
      <c r="B92" s="38">
        <v>11</v>
      </c>
      <c r="C92" s="32">
        <v>6</v>
      </c>
      <c r="D92" s="32">
        <v>1170</v>
      </c>
      <c r="E92" s="33" t="s">
        <v>27</v>
      </c>
      <c r="F92" s="33" t="s">
        <v>45</v>
      </c>
      <c r="G92" s="33"/>
      <c r="H92" s="33"/>
      <c r="I92" s="34" t="str">
        <f t="shared" si="11"/>
        <v>Induction motor - TEFC
15 Hp, 11 Kw,  3 Phase
 220/380/440v, 60 Hz
6 Pole - 1170 rpm
Foot mounted - 160L  Frame
TECO Brand</v>
      </c>
      <c r="J92" s="34" t="s">
        <v>134</v>
      </c>
      <c r="K92" s="34" t="s">
        <v>72</v>
      </c>
      <c r="L92" s="5">
        <v>89.5</v>
      </c>
      <c r="M92" s="5">
        <v>88.5</v>
      </c>
      <c r="N92" s="5">
        <v>88</v>
      </c>
      <c r="O92" s="5">
        <v>84</v>
      </c>
      <c r="P92" s="5">
        <v>73</v>
      </c>
      <c r="Q92" s="5">
        <v>70.5</v>
      </c>
      <c r="R92" s="5">
        <v>39.1</v>
      </c>
      <c r="S92" s="3">
        <v>290</v>
      </c>
      <c r="T92" s="6">
        <v>9.3059999999999992</v>
      </c>
      <c r="U92" s="3">
        <v>240</v>
      </c>
      <c r="V92" s="3">
        <v>260</v>
      </c>
      <c r="W92" s="6">
        <v>0.58799999999999997</v>
      </c>
    </row>
    <row r="93" spans="1:23" ht="99.95" customHeight="1" x14ac:dyDescent="0.25">
      <c r="A93" s="39">
        <v>20</v>
      </c>
      <c r="B93" s="39">
        <v>15</v>
      </c>
      <c r="C93" s="36">
        <v>2</v>
      </c>
      <c r="D93" s="36">
        <v>3520</v>
      </c>
      <c r="E93" s="37" t="s">
        <v>26</v>
      </c>
      <c r="F93" s="33" t="s">
        <v>45</v>
      </c>
      <c r="G93" s="33"/>
      <c r="H93" s="33"/>
      <c r="I93" s="34" t="str">
        <f t="shared" si="11"/>
        <v>Induction motor - TEFC
20 Hp, 15 Kw,  3 Phase
 220/380/440v, 60 Hz
2 Pole - 3520 rpm
Foot mounted - 160M  Frame
TECO Brand</v>
      </c>
      <c r="J93" s="34" t="s">
        <v>135</v>
      </c>
      <c r="K93" s="34" t="s">
        <v>73</v>
      </c>
      <c r="L93" s="8">
        <v>89.5</v>
      </c>
      <c r="M93" s="8">
        <v>90</v>
      </c>
      <c r="N93" s="8">
        <v>89</v>
      </c>
      <c r="O93" s="8">
        <v>91</v>
      </c>
      <c r="P93" s="8">
        <v>90</v>
      </c>
      <c r="Q93" s="8">
        <v>87.5</v>
      </c>
      <c r="R93" s="8">
        <v>48.1</v>
      </c>
      <c r="S93" s="7">
        <v>360</v>
      </c>
      <c r="T93" s="9">
        <v>4.1239999999999997</v>
      </c>
      <c r="U93" s="7">
        <v>210</v>
      </c>
      <c r="V93" s="7">
        <v>260</v>
      </c>
      <c r="W93" s="9">
        <v>0.183</v>
      </c>
    </row>
    <row r="94" spans="1:23" ht="99.95" customHeight="1" x14ac:dyDescent="0.25">
      <c r="A94" s="38">
        <v>20</v>
      </c>
      <c r="B94" s="38">
        <v>15</v>
      </c>
      <c r="C94" s="32">
        <v>4</v>
      </c>
      <c r="D94" s="32">
        <v>1760</v>
      </c>
      <c r="E94" s="33" t="s">
        <v>27</v>
      </c>
      <c r="F94" s="33" t="s">
        <v>45</v>
      </c>
      <c r="G94" s="33"/>
      <c r="H94" s="33"/>
      <c r="I94" s="34" t="str">
        <f t="shared" si="11"/>
        <v>Induction motor - TEFC
20 Hp, 15 Kw,  3 Phase
 220/380/440v, 60 Hz
4 Pole - 1760 rpm
Foot mounted - 160L  Frame
TECO Brand</v>
      </c>
      <c r="J94" s="34" t="s">
        <v>136</v>
      </c>
      <c r="K94" s="34" t="s">
        <v>74</v>
      </c>
      <c r="L94" s="5">
        <v>90.5</v>
      </c>
      <c r="M94" s="5">
        <v>90.5</v>
      </c>
      <c r="N94" s="5">
        <v>90.5</v>
      </c>
      <c r="O94" s="5">
        <v>86</v>
      </c>
      <c r="P94" s="5">
        <v>76.5</v>
      </c>
      <c r="Q94" s="5">
        <v>84</v>
      </c>
      <c r="R94" s="5">
        <v>50.3</v>
      </c>
      <c r="S94" s="3">
        <v>360</v>
      </c>
      <c r="T94" s="6">
        <v>8.2479999999999993</v>
      </c>
      <c r="U94" s="3">
        <v>230</v>
      </c>
      <c r="V94" s="3">
        <v>260</v>
      </c>
      <c r="W94" s="6">
        <v>0.38100000000000001</v>
      </c>
    </row>
    <row r="95" spans="1:23" ht="99.95" customHeight="1" x14ac:dyDescent="0.25">
      <c r="A95" s="39">
        <v>20</v>
      </c>
      <c r="B95" s="39">
        <v>15</v>
      </c>
      <c r="C95" s="36">
        <v>6</v>
      </c>
      <c r="D95" s="36">
        <v>1170</v>
      </c>
      <c r="E95" s="37" t="s">
        <v>28</v>
      </c>
      <c r="F95" s="33" t="s">
        <v>45</v>
      </c>
      <c r="G95" s="33"/>
      <c r="H95" s="33"/>
      <c r="I95" s="34" t="str">
        <f t="shared" si="11"/>
        <v>Induction motor - TEFC
20 Hp, 15 Kw,  3 Phase
 220/380/440v, 60 Hz
6 Pole - 1170 rpm
Foot mounted - 180MC  Frame
TECO Brand</v>
      </c>
      <c r="J95" s="34" t="s">
        <v>137</v>
      </c>
      <c r="K95" s="34" t="s">
        <v>75</v>
      </c>
      <c r="L95" s="8">
        <v>90</v>
      </c>
      <c r="M95" s="8">
        <v>91.5</v>
      </c>
      <c r="N95" s="8">
        <v>90.5</v>
      </c>
      <c r="O95" s="8">
        <v>85</v>
      </c>
      <c r="P95" s="8">
        <v>70.5</v>
      </c>
      <c r="Q95" s="8">
        <v>79.5</v>
      </c>
      <c r="R95" s="8">
        <v>51.2</v>
      </c>
      <c r="S95" s="7">
        <v>360</v>
      </c>
      <c r="T95" s="9">
        <v>12.407999999999999</v>
      </c>
      <c r="U95" s="7">
        <v>230</v>
      </c>
      <c r="V95" s="7">
        <v>250</v>
      </c>
      <c r="W95" s="9">
        <v>1.054</v>
      </c>
    </row>
    <row r="96" spans="1:23" ht="99.95" customHeight="1" x14ac:dyDescent="0.25">
      <c r="A96" s="38">
        <v>25</v>
      </c>
      <c r="B96" s="31">
        <v>18.5</v>
      </c>
      <c r="C96" s="32">
        <v>2</v>
      </c>
      <c r="D96" s="32">
        <v>3530</v>
      </c>
      <c r="E96" s="33" t="s">
        <v>27</v>
      </c>
      <c r="F96" s="33" t="s">
        <v>45</v>
      </c>
      <c r="G96" s="33"/>
      <c r="H96" s="33"/>
      <c r="I96" s="34" t="str">
        <f t="shared" si="11"/>
        <v>Induction motor - TEFC
25 Hp, 18.5 Kw,  3 Phase
 220/380/440v, 60 Hz
2 Pole - 3530 rpm
Foot mounted - 160L  Frame
TECO Brand</v>
      </c>
      <c r="J96" s="34" t="s">
        <v>138</v>
      </c>
      <c r="K96" s="34" t="s">
        <v>76</v>
      </c>
      <c r="L96" s="5">
        <v>90</v>
      </c>
      <c r="M96" s="5">
        <v>91.5</v>
      </c>
      <c r="N96" s="5">
        <v>90.5</v>
      </c>
      <c r="O96" s="5">
        <v>89.5</v>
      </c>
      <c r="P96" s="5">
        <v>90.5</v>
      </c>
      <c r="Q96" s="5">
        <v>87</v>
      </c>
      <c r="R96" s="5">
        <v>60.8</v>
      </c>
      <c r="S96" s="3">
        <v>480</v>
      </c>
      <c r="T96" s="6">
        <v>5.141</v>
      </c>
      <c r="U96" s="3">
        <v>240</v>
      </c>
      <c r="V96" s="3">
        <v>290</v>
      </c>
      <c r="W96" s="6">
        <v>0.23699999999999999</v>
      </c>
    </row>
    <row r="97" spans="1:23" ht="99.95" customHeight="1" x14ac:dyDescent="0.25">
      <c r="A97" s="39">
        <v>25</v>
      </c>
      <c r="B97" s="35">
        <v>18.5</v>
      </c>
      <c r="C97" s="36">
        <v>4</v>
      </c>
      <c r="D97" s="36">
        <v>1760</v>
      </c>
      <c r="E97" s="37" t="s">
        <v>28</v>
      </c>
      <c r="F97" s="33" t="s">
        <v>45</v>
      </c>
      <c r="G97" s="33"/>
      <c r="H97" s="33"/>
      <c r="I97" s="34" t="str">
        <f t="shared" si="11"/>
        <v>Induction motor - TEFC
25 Hp, 18.5 Kw,  3 Phase
 220/380/440v, 60 Hz
4 Pole - 1760 rpm
Foot mounted - 180MC  Frame
TECO Brand</v>
      </c>
      <c r="J97" s="34" t="s">
        <v>139</v>
      </c>
      <c r="K97" s="34" t="s">
        <v>77</v>
      </c>
      <c r="L97" s="8">
        <v>91</v>
      </c>
      <c r="M97" s="8">
        <v>91</v>
      </c>
      <c r="N97" s="8">
        <v>90</v>
      </c>
      <c r="O97" s="8">
        <v>85.5</v>
      </c>
      <c r="P97" s="8">
        <v>83</v>
      </c>
      <c r="Q97" s="8">
        <v>77</v>
      </c>
      <c r="R97" s="8">
        <v>62.9</v>
      </c>
      <c r="S97" s="7">
        <v>440</v>
      </c>
      <c r="T97" s="9">
        <v>10.31</v>
      </c>
      <c r="U97" s="7">
        <v>210</v>
      </c>
      <c r="V97" s="7">
        <v>240</v>
      </c>
      <c r="W97" s="9">
        <v>0.57099999999999995</v>
      </c>
    </row>
    <row r="98" spans="1:23" ht="99.95" customHeight="1" x14ac:dyDescent="0.25">
      <c r="A98" s="38">
        <v>25</v>
      </c>
      <c r="B98" s="31">
        <v>18.5</v>
      </c>
      <c r="C98" s="32">
        <v>6</v>
      </c>
      <c r="D98" s="32">
        <v>1170</v>
      </c>
      <c r="E98" s="33" t="s">
        <v>29</v>
      </c>
      <c r="F98" s="33" t="s">
        <v>45</v>
      </c>
      <c r="G98" s="33"/>
      <c r="H98" s="33"/>
      <c r="I98" s="34" t="str">
        <f t="shared" si="11"/>
        <v>Induction motor - TEFC
25 Hp, 18.5 Kw,  3 Phase
 220/380/440v, 60 Hz
6 Pole - 1170 rpm
Foot mounted - 180LC  Frame
TECO Brand</v>
      </c>
      <c r="J98" s="34" t="s">
        <v>140</v>
      </c>
      <c r="K98" s="34" t="s">
        <v>78</v>
      </c>
      <c r="L98" s="5">
        <v>90</v>
      </c>
      <c r="M98" s="5">
        <v>91</v>
      </c>
      <c r="N98" s="5">
        <v>90.5</v>
      </c>
      <c r="O98" s="5">
        <v>84.5</v>
      </c>
      <c r="P98" s="5">
        <v>80</v>
      </c>
      <c r="Q98" s="5">
        <v>72</v>
      </c>
      <c r="R98" s="5">
        <v>64.400000000000006</v>
      </c>
      <c r="S98" s="3">
        <v>440</v>
      </c>
      <c r="T98" s="6">
        <v>15.51</v>
      </c>
      <c r="U98" s="3">
        <v>220</v>
      </c>
      <c r="V98" s="3">
        <v>250</v>
      </c>
      <c r="W98" s="6">
        <v>1.2330000000000001</v>
      </c>
    </row>
    <row r="99" spans="1:23" ht="99.95" customHeight="1" x14ac:dyDescent="0.25">
      <c r="A99" s="39">
        <v>30</v>
      </c>
      <c r="B99" s="39">
        <v>22</v>
      </c>
      <c r="C99" s="36">
        <v>2</v>
      </c>
      <c r="D99" s="36">
        <v>3540</v>
      </c>
      <c r="E99" s="37" t="s">
        <v>30</v>
      </c>
      <c r="F99" s="33" t="s">
        <v>45</v>
      </c>
      <c r="G99" s="33"/>
      <c r="H99" s="33"/>
      <c r="I99" s="34" t="str">
        <f t="shared" si="11"/>
        <v>Induction motor - TEFC
30 Hp, 22 Kw,  3 Phase
 220/380/440v, 60 Hz
2 Pole - 3540 rpm
Foot mounted - 180MA  Frame
TECO Brand</v>
      </c>
      <c r="J99" s="34" t="s">
        <v>141</v>
      </c>
      <c r="K99" s="34" t="s">
        <v>79</v>
      </c>
      <c r="L99" s="8">
        <v>90.5</v>
      </c>
      <c r="M99" s="8">
        <v>91.5</v>
      </c>
      <c r="N99" s="8">
        <v>89.5</v>
      </c>
      <c r="O99" s="8">
        <v>90</v>
      </c>
      <c r="P99" s="8">
        <v>88.5</v>
      </c>
      <c r="Q99" s="8">
        <v>83.5</v>
      </c>
      <c r="R99" s="8">
        <v>72.099999999999994</v>
      </c>
      <c r="S99" s="7">
        <v>550</v>
      </c>
      <c r="T99" s="9">
        <v>6.1509999999999998</v>
      </c>
      <c r="U99" s="7">
        <v>210</v>
      </c>
      <c r="V99" s="7">
        <v>250</v>
      </c>
      <c r="W99" s="9">
        <v>0.30199999999999999</v>
      </c>
    </row>
    <row r="100" spans="1:23" ht="99.95" customHeight="1" x14ac:dyDescent="0.25">
      <c r="A100" s="38">
        <v>30</v>
      </c>
      <c r="B100" s="38">
        <v>22</v>
      </c>
      <c r="C100" s="32">
        <v>4</v>
      </c>
      <c r="D100" s="32">
        <v>1765</v>
      </c>
      <c r="E100" s="33" t="s">
        <v>28</v>
      </c>
      <c r="F100" s="33" t="s">
        <v>45</v>
      </c>
      <c r="G100" s="33"/>
      <c r="H100" s="33"/>
      <c r="I100" s="34" t="str">
        <f t="shared" si="11"/>
        <v>Induction motor - TEFC
30 Hp, 22 Kw,  3 Phase
 220/380/440v, 60 Hz
4 Pole - 1765 rpm
Foot mounted - 180MC  Frame
TECO Brand</v>
      </c>
      <c r="J100" s="34" t="s">
        <v>142</v>
      </c>
      <c r="K100" s="34" t="s">
        <v>80</v>
      </c>
      <c r="L100" s="5">
        <v>91.5</v>
      </c>
      <c r="M100" s="5">
        <v>92.5</v>
      </c>
      <c r="N100" s="5">
        <v>91.5</v>
      </c>
      <c r="O100" s="5">
        <v>88</v>
      </c>
      <c r="P100" s="5">
        <v>77</v>
      </c>
      <c r="Q100" s="5">
        <v>83.5</v>
      </c>
      <c r="R100" s="5">
        <v>72.900000000000006</v>
      </c>
      <c r="S100" s="3">
        <v>550</v>
      </c>
      <c r="T100" s="6">
        <v>12.337999999999999</v>
      </c>
      <c r="U100" s="3">
        <v>210</v>
      </c>
      <c r="V100" s="3">
        <v>250</v>
      </c>
      <c r="W100" s="6">
        <v>0.70599999999999996</v>
      </c>
    </row>
    <row r="101" spans="1:23" ht="99.95" customHeight="1" x14ac:dyDescent="0.25">
      <c r="A101" s="39">
        <v>30</v>
      </c>
      <c r="B101" s="39">
        <v>22</v>
      </c>
      <c r="C101" s="36">
        <v>6</v>
      </c>
      <c r="D101" s="36">
        <v>1175</v>
      </c>
      <c r="E101" s="37" t="s">
        <v>29</v>
      </c>
      <c r="F101" s="33" t="s">
        <v>45</v>
      </c>
      <c r="G101" s="33"/>
      <c r="H101" s="33"/>
      <c r="I101" s="34" t="str">
        <f t="shared" si="11"/>
        <v>Induction motor - TEFC
30 Hp, 22 Kw,  3 Phase
 220/380/440v, 60 Hz
6 Pole - 1175 rpm
Foot mounted - 180LC  Frame
TECO Brand</v>
      </c>
      <c r="J101" s="34" t="s">
        <v>143</v>
      </c>
      <c r="K101" s="34" t="s">
        <v>81</v>
      </c>
      <c r="L101" s="8">
        <v>91</v>
      </c>
      <c r="M101" s="8">
        <v>92</v>
      </c>
      <c r="N101" s="8">
        <v>91</v>
      </c>
      <c r="O101" s="8">
        <v>84</v>
      </c>
      <c r="P101" s="8">
        <v>69.5</v>
      </c>
      <c r="Q101" s="8">
        <v>78.5</v>
      </c>
      <c r="R101" s="8">
        <v>76.8</v>
      </c>
      <c r="S101" s="7">
        <v>550</v>
      </c>
      <c r="T101" s="9">
        <v>18.533000000000001</v>
      </c>
      <c r="U101" s="7">
        <v>250</v>
      </c>
      <c r="V101" s="7">
        <v>260</v>
      </c>
      <c r="W101" s="9">
        <v>1.4379999999999999</v>
      </c>
    </row>
    <row r="102" spans="1:23" ht="99.95" customHeight="1" x14ac:dyDescent="0.25">
      <c r="A102" s="38">
        <v>40</v>
      </c>
      <c r="B102" s="38">
        <v>30</v>
      </c>
      <c r="C102" s="32">
        <v>2</v>
      </c>
      <c r="D102" s="32">
        <v>3520</v>
      </c>
      <c r="E102" s="33" t="s">
        <v>31</v>
      </c>
      <c r="F102" s="33" t="s">
        <v>45</v>
      </c>
      <c r="G102" s="33"/>
      <c r="H102" s="33"/>
      <c r="I102" s="34" t="str">
        <f t="shared" si="11"/>
        <v>Induction motor - TEFC
40 Hp, 30 Kw,  3 Phase
 220/380/440v, 60 Hz
2 Pole - 3520 rpm
Foot mounted - 180LA  Frame
TECO Brand</v>
      </c>
      <c r="J102" s="34" t="s">
        <v>144</v>
      </c>
      <c r="K102" s="34" t="s">
        <v>82</v>
      </c>
      <c r="L102" s="5">
        <v>90.5</v>
      </c>
      <c r="M102" s="5">
        <v>91</v>
      </c>
      <c r="N102" s="5">
        <v>89.5</v>
      </c>
      <c r="O102" s="5">
        <v>91</v>
      </c>
      <c r="P102" s="5">
        <v>85.5</v>
      </c>
      <c r="Q102" s="5">
        <v>90</v>
      </c>
      <c r="R102" s="5">
        <v>95.1</v>
      </c>
      <c r="S102" s="3">
        <v>680</v>
      </c>
      <c r="T102" s="6">
        <v>8.2479999999999993</v>
      </c>
      <c r="U102" s="3">
        <v>230</v>
      </c>
      <c r="V102" s="3">
        <v>250</v>
      </c>
      <c r="W102" s="6">
        <v>0.35799999999999998</v>
      </c>
    </row>
    <row r="103" spans="1:23" ht="99.95" customHeight="1" x14ac:dyDescent="0.25">
      <c r="A103" s="39">
        <v>40</v>
      </c>
      <c r="B103" s="39">
        <v>30</v>
      </c>
      <c r="C103" s="36">
        <v>4</v>
      </c>
      <c r="D103" s="36">
        <v>1760</v>
      </c>
      <c r="E103" s="37" t="s">
        <v>29</v>
      </c>
      <c r="F103" s="33" t="s">
        <v>45</v>
      </c>
      <c r="G103" s="33"/>
      <c r="H103" s="33"/>
      <c r="I103" s="34" t="str">
        <f t="shared" si="11"/>
        <v>Induction motor - TEFC
40 Hp, 30 Kw,  3 Phase
 220/380/440v, 60 Hz
4 Pole - 1760 rpm
Foot mounted - 180LC  Frame
TECO Brand</v>
      </c>
      <c r="J103" s="34" t="s">
        <v>145</v>
      </c>
      <c r="K103" s="34" t="s">
        <v>83</v>
      </c>
      <c r="L103" s="8">
        <v>92</v>
      </c>
      <c r="M103" s="8">
        <v>93</v>
      </c>
      <c r="N103" s="8">
        <v>92.5</v>
      </c>
      <c r="O103" s="8">
        <v>88</v>
      </c>
      <c r="P103" s="8">
        <v>78</v>
      </c>
      <c r="Q103" s="8">
        <v>84.5</v>
      </c>
      <c r="R103" s="8">
        <v>96.7</v>
      </c>
      <c r="S103" s="7">
        <v>680</v>
      </c>
      <c r="T103" s="9">
        <v>16.497</v>
      </c>
      <c r="U103" s="7">
        <v>220</v>
      </c>
      <c r="V103" s="7">
        <v>240</v>
      </c>
      <c r="W103" s="9">
        <v>0.81</v>
      </c>
    </row>
    <row r="104" spans="1:23" ht="99.95" customHeight="1" x14ac:dyDescent="0.25">
      <c r="A104" s="38">
        <v>40</v>
      </c>
      <c r="B104" s="38">
        <v>30</v>
      </c>
      <c r="C104" s="32">
        <v>6</v>
      </c>
      <c r="D104" s="32">
        <v>1170</v>
      </c>
      <c r="E104" s="33" t="s">
        <v>32</v>
      </c>
      <c r="F104" s="33" t="s">
        <v>45</v>
      </c>
      <c r="G104" s="33"/>
      <c r="H104" s="33"/>
      <c r="I104" s="34" t="str">
        <f t="shared" si="11"/>
        <v>Induction motor - TEFC
40 Hp, 30 Kw,  3 Phase
 220/380/440v, 60 Hz
6 Pole - 1170 rpm
Foot mounted - 200LC  Frame
TECO Brand</v>
      </c>
      <c r="J104" s="34" t="s">
        <v>146</v>
      </c>
      <c r="K104" s="34" t="s">
        <v>84</v>
      </c>
      <c r="L104" s="5">
        <v>92</v>
      </c>
      <c r="M104" s="5">
        <v>92.5</v>
      </c>
      <c r="N104" s="5">
        <v>92.5</v>
      </c>
      <c r="O104" s="5">
        <v>85</v>
      </c>
      <c r="P104" s="5">
        <v>80</v>
      </c>
      <c r="Q104" s="5">
        <v>73.5</v>
      </c>
      <c r="R104" s="5">
        <v>100</v>
      </c>
      <c r="S104" s="3">
        <v>620</v>
      </c>
      <c r="T104" s="6">
        <v>24.815999999999999</v>
      </c>
      <c r="U104" s="3">
        <v>190</v>
      </c>
      <c r="V104" s="3">
        <v>200</v>
      </c>
      <c r="W104" s="6">
        <v>1.919</v>
      </c>
    </row>
    <row r="105" spans="1:23" ht="99.95" customHeight="1" x14ac:dyDescent="0.25">
      <c r="A105" s="39">
        <v>50</v>
      </c>
      <c r="B105" s="39">
        <v>37</v>
      </c>
      <c r="C105" s="36">
        <v>2</v>
      </c>
      <c r="D105" s="36">
        <v>3545</v>
      </c>
      <c r="E105" s="37" t="s">
        <v>33</v>
      </c>
      <c r="F105" s="33" t="s">
        <v>45</v>
      </c>
      <c r="G105" s="33"/>
      <c r="H105" s="33"/>
      <c r="I105" s="34" t="str">
        <f t="shared" si="11"/>
        <v>Induction motor - TEFC
50 Hp, 37 Kw,  3 Phase
 220/380/440v, 60 Hz
2 Pole - 3545 rpm
Foot mounted - 200LA  Frame
TECO Brand</v>
      </c>
      <c r="J105" s="34" t="s">
        <v>147</v>
      </c>
      <c r="K105" s="34" t="s">
        <v>85</v>
      </c>
      <c r="L105" s="8">
        <v>91</v>
      </c>
      <c r="M105" s="8">
        <v>90</v>
      </c>
      <c r="N105" s="8">
        <v>87.5</v>
      </c>
      <c r="O105" s="8">
        <v>89</v>
      </c>
      <c r="P105" s="8">
        <v>87</v>
      </c>
      <c r="Q105" s="8">
        <v>90.5</v>
      </c>
      <c r="R105" s="8">
        <v>121</v>
      </c>
      <c r="S105" s="7">
        <v>800</v>
      </c>
      <c r="T105" s="9">
        <v>10.238</v>
      </c>
      <c r="U105" s="7">
        <v>150</v>
      </c>
      <c r="V105" s="7">
        <v>210</v>
      </c>
      <c r="W105" s="9">
        <v>0.60199999999999998</v>
      </c>
    </row>
    <row r="106" spans="1:23" ht="99.95" customHeight="1" x14ac:dyDescent="0.25">
      <c r="A106" s="38">
        <v>50</v>
      </c>
      <c r="B106" s="38">
        <v>37</v>
      </c>
      <c r="C106" s="32">
        <v>4</v>
      </c>
      <c r="D106" s="32">
        <v>1770</v>
      </c>
      <c r="E106" s="33" t="s">
        <v>32</v>
      </c>
      <c r="F106" s="33" t="s">
        <v>45</v>
      </c>
      <c r="G106" s="33"/>
      <c r="H106" s="33"/>
      <c r="I106" s="34" t="str">
        <f t="shared" si="11"/>
        <v>Induction motor - TEFC
50 Hp, 37 Kw,  3 Phase
 220/380/440v, 60 Hz
4 Pole - 1770 rpm
Foot mounted - 200LC  Frame
TECO Brand</v>
      </c>
      <c r="J106" s="34" t="s">
        <v>148</v>
      </c>
      <c r="K106" s="34" t="s">
        <v>86</v>
      </c>
      <c r="L106" s="5">
        <v>92</v>
      </c>
      <c r="M106" s="5">
        <v>93</v>
      </c>
      <c r="N106" s="5">
        <v>92</v>
      </c>
      <c r="O106" s="5">
        <v>86</v>
      </c>
      <c r="P106" s="5">
        <v>85.5</v>
      </c>
      <c r="Q106" s="5">
        <v>81.5</v>
      </c>
      <c r="R106" s="5">
        <v>124</v>
      </c>
      <c r="S106" s="3">
        <v>950</v>
      </c>
      <c r="T106" s="6">
        <v>20.504000000000001</v>
      </c>
      <c r="U106" s="3">
        <v>240</v>
      </c>
      <c r="V106" s="3">
        <v>250</v>
      </c>
      <c r="W106" s="6">
        <v>1.4219999999999999</v>
      </c>
    </row>
    <row r="107" spans="1:23" ht="99.95" customHeight="1" x14ac:dyDescent="0.25">
      <c r="A107" s="39">
        <v>50</v>
      </c>
      <c r="B107" s="39">
        <v>37</v>
      </c>
      <c r="C107" s="36">
        <v>6</v>
      </c>
      <c r="D107" s="36">
        <v>1175</v>
      </c>
      <c r="E107" s="37" t="s">
        <v>32</v>
      </c>
      <c r="F107" s="33" t="s">
        <v>45</v>
      </c>
      <c r="G107" s="33"/>
      <c r="H107" s="33"/>
      <c r="I107" s="34" t="str">
        <f t="shared" si="11"/>
        <v>Induction motor - TEFC
50 Hp, 37 Kw,  3 Phase
 220/380/440v, 60 Hz
6 Pole - 1175 rpm
Foot mounted - 200LC  Frame
TECO Brand</v>
      </c>
      <c r="J107" s="34" t="s">
        <v>149</v>
      </c>
      <c r="K107" s="34" t="s">
        <v>87</v>
      </c>
      <c r="L107" s="8">
        <v>92.5</v>
      </c>
      <c r="M107" s="8">
        <v>93</v>
      </c>
      <c r="N107" s="8">
        <v>92.5</v>
      </c>
      <c r="O107" s="8">
        <v>84</v>
      </c>
      <c r="P107" s="8">
        <v>78</v>
      </c>
      <c r="Q107" s="8">
        <v>70.5</v>
      </c>
      <c r="R107" s="8">
        <v>126</v>
      </c>
      <c r="S107" s="7">
        <v>850</v>
      </c>
      <c r="T107" s="9">
        <v>30.888000000000002</v>
      </c>
      <c r="U107" s="7">
        <v>210</v>
      </c>
      <c r="V107" s="7">
        <v>230</v>
      </c>
      <c r="W107" s="9">
        <v>2.419</v>
      </c>
    </row>
    <row r="108" spans="1:23" ht="99.95" customHeight="1" x14ac:dyDescent="0.25">
      <c r="A108" s="38">
        <v>60</v>
      </c>
      <c r="B108" s="38">
        <v>45</v>
      </c>
      <c r="C108" s="32">
        <v>2</v>
      </c>
      <c r="D108" s="32">
        <v>3545</v>
      </c>
      <c r="E108" s="33" t="s">
        <v>33</v>
      </c>
      <c r="F108" s="33" t="s">
        <v>45</v>
      </c>
      <c r="G108" s="33"/>
      <c r="H108" s="33"/>
      <c r="I108" s="34" t="str">
        <f t="shared" si="11"/>
        <v>Induction motor - TEFC
60 Hp, 45 Kw,  3 Phase
 220/380/440v, 60 Hz
2 Pole - 3545 rpm
Foot mounted - 200LA  Frame
TECO Brand</v>
      </c>
      <c r="J108" s="34" t="s">
        <v>150</v>
      </c>
      <c r="K108" s="34" t="s">
        <v>88</v>
      </c>
      <c r="L108" s="5">
        <v>91.5</v>
      </c>
      <c r="M108" s="5">
        <v>91.5</v>
      </c>
      <c r="N108" s="5">
        <v>90</v>
      </c>
      <c r="O108" s="5">
        <v>90</v>
      </c>
      <c r="P108" s="5">
        <v>86.5</v>
      </c>
      <c r="Q108" s="5">
        <v>82.5</v>
      </c>
      <c r="R108" s="5">
        <v>143</v>
      </c>
      <c r="S108" s="3">
        <v>950</v>
      </c>
      <c r="T108" s="6">
        <v>12.285</v>
      </c>
      <c r="U108" s="3">
        <v>170</v>
      </c>
      <c r="V108" s="3">
        <v>220</v>
      </c>
      <c r="W108" s="6">
        <v>0.63300000000000001</v>
      </c>
    </row>
    <row r="109" spans="1:23" ht="99.95" customHeight="1" x14ac:dyDescent="0.25">
      <c r="A109" s="39">
        <v>60</v>
      </c>
      <c r="B109" s="39">
        <v>45</v>
      </c>
      <c r="C109" s="36">
        <v>4</v>
      </c>
      <c r="D109" s="36">
        <v>1765</v>
      </c>
      <c r="E109" s="37" t="s">
        <v>32</v>
      </c>
      <c r="F109" s="33" t="s">
        <v>45</v>
      </c>
      <c r="G109" s="33"/>
      <c r="H109" s="33"/>
      <c r="I109" s="34" t="str">
        <f t="shared" si="11"/>
        <v>Induction motor - TEFC
60 Hp, 45 Kw,  3 Phase
 220/380/440v, 60 Hz
4 Pole - 1765 rpm
Foot mounted - 200LC  Frame
TECO Brand</v>
      </c>
      <c r="J109" s="34" t="s">
        <v>151</v>
      </c>
      <c r="K109" s="34" t="s">
        <v>89</v>
      </c>
      <c r="L109" s="8">
        <v>92</v>
      </c>
      <c r="M109" s="8">
        <v>93</v>
      </c>
      <c r="N109" s="8">
        <v>92.5</v>
      </c>
      <c r="O109" s="8">
        <v>89</v>
      </c>
      <c r="P109" s="8">
        <v>84</v>
      </c>
      <c r="Q109" s="8">
        <v>87</v>
      </c>
      <c r="R109" s="8">
        <v>144</v>
      </c>
      <c r="S109" s="7">
        <v>1060</v>
      </c>
      <c r="T109" s="9">
        <v>24.675000000000001</v>
      </c>
      <c r="U109" s="7">
        <v>210</v>
      </c>
      <c r="V109" s="7">
        <v>230</v>
      </c>
      <c r="W109" s="9">
        <v>1.643</v>
      </c>
    </row>
    <row r="110" spans="1:23" ht="99.95" customHeight="1" x14ac:dyDescent="0.25">
      <c r="A110" s="38">
        <v>60</v>
      </c>
      <c r="B110" s="38">
        <v>45</v>
      </c>
      <c r="C110" s="32">
        <v>6</v>
      </c>
      <c r="D110" s="32">
        <v>1180</v>
      </c>
      <c r="E110" s="33" t="s">
        <v>34</v>
      </c>
      <c r="F110" s="33" t="s">
        <v>45</v>
      </c>
      <c r="G110" s="33"/>
      <c r="H110" s="33"/>
      <c r="I110" s="34" t="str">
        <f t="shared" si="11"/>
        <v>Induction motor - TEFC
60 Hp, 45 Kw,  3 Phase
 220/380/440v, 60 Hz
6 Pole - 1180 rpm
Foot mounted - 225SC  Frame
TECO Brand</v>
      </c>
      <c r="J110" s="34" t="s">
        <v>152</v>
      </c>
      <c r="K110" s="34" t="s">
        <v>90</v>
      </c>
      <c r="L110" s="5">
        <v>92.5</v>
      </c>
      <c r="M110" s="5">
        <v>93</v>
      </c>
      <c r="N110" s="5">
        <v>92</v>
      </c>
      <c r="O110" s="5">
        <v>86</v>
      </c>
      <c r="P110" s="5">
        <v>84</v>
      </c>
      <c r="Q110" s="5">
        <v>76.5</v>
      </c>
      <c r="R110" s="5">
        <v>148</v>
      </c>
      <c r="S110" s="3">
        <v>980</v>
      </c>
      <c r="T110" s="6">
        <v>36.908000000000001</v>
      </c>
      <c r="U110" s="3">
        <v>220</v>
      </c>
      <c r="V110" s="3">
        <v>220</v>
      </c>
      <c r="W110" s="6">
        <v>3.0230000000000001</v>
      </c>
    </row>
    <row r="111" spans="1:23" ht="99.95" customHeight="1" x14ac:dyDescent="0.25">
      <c r="A111" s="39">
        <v>75</v>
      </c>
      <c r="B111" s="39">
        <v>55</v>
      </c>
      <c r="C111" s="36">
        <v>2</v>
      </c>
      <c r="D111" s="36">
        <v>3550</v>
      </c>
      <c r="E111" s="37" t="s">
        <v>35</v>
      </c>
      <c r="F111" s="33" t="s">
        <v>45</v>
      </c>
      <c r="G111" s="33"/>
      <c r="H111" s="33"/>
      <c r="I111" s="34" t="str">
        <f t="shared" si="11"/>
        <v>Induction motor - TEFC
75 Hp, 55 Kw,  3 Phase
 220/380/440v, 60 Hz
2 Pole - 3550 rpm
Foot mounted - 225SA  Frame
TECO Brand</v>
      </c>
      <c r="J111" s="34" t="s">
        <v>153</v>
      </c>
      <c r="K111" s="34" t="s">
        <v>91</v>
      </c>
      <c r="L111" s="8">
        <v>92</v>
      </c>
      <c r="M111" s="8">
        <v>93</v>
      </c>
      <c r="N111" s="8">
        <v>91.5</v>
      </c>
      <c r="O111" s="8">
        <v>92</v>
      </c>
      <c r="P111" s="8">
        <v>91.5</v>
      </c>
      <c r="Q111" s="8">
        <v>87.5</v>
      </c>
      <c r="R111" s="8">
        <v>174</v>
      </c>
      <c r="S111" s="7">
        <v>1220</v>
      </c>
      <c r="T111" s="9">
        <v>15.335000000000001</v>
      </c>
      <c r="U111" s="7">
        <v>150</v>
      </c>
      <c r="V111" s="7">
        <v>210</v>
      </c>
      <c r="W111" s="9">
        <v>1.1870000000000001</v>
      </c>
    </row>
    <row r="112" spans="1:23" ht="99.95" customHeight="1" x14ac:dyDescent="0.25">
      <c r="A112" s="38">
        <v>75</v>
      </c>
      <c r="B112" s="38">
        <v>55</v>
      </c>
      <c r="C112" s="32">
        <v>4</v>
      </c>
      <c r="D112" s="32">
        <v>1775</v>
      </c>
      <c r="E112" s="33" t="s">
        <v>34</v>
      </c>
      <c r="F112" s="33" t="s">
        <v>45</v>
      </c>
      <c r="G112" s="33"/>
      <c r="H112" s="33"/>
      <c r="I112" s="34" t="str">
        <f t="shared" si="11"/>
        <v>Induction motor - TEFC
75 Hp, 55 Kw,  3 Phase
 220/380/440v, 60 Hz
4 Pole - 1775 rpm
Foot mounted - 225SC  Frame
TECO Brand</v>
      </c>
      <c r="J112" s="34" t="s">
        <v>154</v>
      </c>
      <c r="K112" s="34" t="s">
        <v>92</v>
      </c>
      <c r="L112" s="5">
        <v>92.5</v>
      </c>
      <c r="M112" s="5">
        <v>93.5</v>
      </c>
      <c r="N112" s="5">
        <v>92</v>
      </c>
      <c r="O112" s="5">
        <v>86.5</v>
      </c>
      <c r="P112" s="5">
        <v>79.5</v>
      </c>
      <c r="Q112" s="5">
        <v>85.5</v>
      </c>
      <c r="R112" s="5">
        <v>184</v>
      </c>
      <c r="S112" s="3">
        <v>1220</v>
      </c>
      <c r="T112" s="6">
        <v>30.67</v>
      </c>
      <c r="U112" s="3">
        <v>180</v>
      </c>
      <c r="V112" s="3">
        <v>200</v>
      </c>
      <c r="W112" s="6">
        <v>1.9790000000000001</v>
      </c>
    </row>
    <row r="113" spans="1:23" ht="99.95" customHeight="1" x14ac:dyDescent="0.25">
      <c r="A113" s="39">
        <v>75</v>
      </c>
      <c r="B113" s="39">
        <v>55</v>
      </c>
      <c r="C113" s="36">
        <v>6</v>
      </c>
      <c r="D113" s="36">
        <v>1175</v>
      </c>
      <c r="E113" s="37" t="s">
        <v>36</v>
      </c>
      <c r="F113" s="33" t="s">
        <v>45</v>
      </c>
      <c r="G113" s="33"/>
      <c r="H113" s="33"/>
      <c r="I113" s="34" t="str">
        <f t="shared" si="11"/>
        <v>Induction motor - TEFC
75 Hp, 55 Kw,  3 Phase
 220/380/440v, 60 Hz
6 Pole - 1175 rpm
Foot mounted - A250SC  Frame
TECO Brand</v>
      </c>
      <c r="J113" s="34" t="s">
        <v>155</v>
      </c>
      <c r="K113" s="34" t="s">
        <v>93</v>
      </c>
      <c r="L113" s="8">
        <v>93</v>
      </c>
      <c r="M113" s="8">
        <v>93.5</v>
      </c>
      <c r="N113" s="8">
        <v>93</v>
      </c>
      <c r="O113" s="8">
        <v>85.5</v>
      </c>
      <c r="P113" s="8">
        <v>78</v>
      </c>
      <c r="Q113" s="8">
        <v>85</v>
      </c>
      <c r="R113" s="8">
        <v>185</v>
      </c>
      <c r="S113" s="7">
        <v>1220</v>
      </c>
      <c r="T113" s="9">
        <v>46.331000000000003</v>
      </c>
      <c r="U113" s="7">
        <v>200</v>
      </c>
      <c r="V113" s="7">
        <v>200</v>
      </c>
      <c r="W113" s="9">
        <v>4.923</v>
      </c>
    </row>
    <row r="114" spans="1:23" ht="99.95" customHeight="1" x14ac:dyDescent="0.25">
      <c r="A114" s="39">
        <v>100</v>
      </c>
      <c r="B114" s="39">
        <v>75</v>
      </c>
      <c r="C114" s="36">
        <v>2</v>
      </c>
      <c r="D114" s="36">
        <v>3550</v>
      </c>
      <c r="E114" s="37" t="s">
        <v>38</v>
      </c>
      <c r="F114" s="33" t="s">
        <v>45</v>
      </c>
      <c r="G114" s="33"/>
      <c r="H114" s="33"/>
      <c r="I114" s="34" t="str">
        <f t="shared" si="11"/>
        <v>Induction motor - TEFC
100 Hp, 75 Kw,  3 Phase
 220/380/440v, 60 Hz
2 Pole - 3550 rpm
Foot mounted - A250SA  Frame
TECO Brand</v>
      </c>
      <c r="J114" s="34" t="s">
        <v>156</v>
      </c>
      <c r="K114" s="34" t="s">
        <v>94</v>
      </c>
      <c r="L114" s="8">
        <v>93.5</v>
      </c>
      <c r="M114" s="8">
        <v>93.5</v>
      </c>
      <c r="N114" s="8">
        <v>93</v>
      </c>
      <c r="O114" s="8">
        <v>91.5</v>
      </c>
      <c r="P114" s="8">
        <v>89.5</v>
      </c>
      <c r="Q114" s="8">
        <v>88.5</v>
      </c>
      <c r="R114" s="8">
        <v>229</v>
      </c>
      <c r="S114" s="7">
        <v>1600</v>
      </c>
      <c r="T114" s="9">
        <v>20.446999999999999</v>
      </c>
      <c r="U114" s="7">
        <v>130</v>
      </c>
      <c r="V114" s="7">
        <v>240</v>
      </c>
      <c r="W114" s="9">
        <v>1.6779999999999999</v>
      </c>
    </row>
    <row r="115" spans="1:23" ht="99.95" customHeight="1" x14ac:dyDescent="0.25">
      <c r="A115" s="38">
        <v>100</v>
      </c>
      <c r="B115" s="38">
        <v>75</v>
      </c>
      <c r="C115" s="32">
        <v>4</v>
      </c>
      <c r="D115" s="32">
        <v>1775</v>
      </c>
      <c r="E115" s="33" t="s">
        <v>36</v>
      </c>
      <c r="F115" s="33" t="s">
        <v>45</v>
      </c>
      <c r="G115" s="33"/>
      <c r="H115" s="33"/>
      <c r="I115" s="34" t="str">
        <f t="shared" si="11"/>
        <v>Induction motor - TEFC
100 Hp, 75 Kw,  3 Phase
 220/380/440v, 60 Hz
4 Pole - 1775 rpm
Foot mounted - A250SC  Frame
TECO Brand</v>
      </c>
      <c r="J115" s="34" t="s">
        <v>157</v>
      </c>
      <c r="K115" s="34" t="s">
        <v>95</v>
      </c>
      <c r="L115" s="5">
        <v>93.5</v>
      </c>
      <c r="M115" s="5">
        <v>92.5</v>
      </c>
      <c r="N115" s="5">
        <v>91</v>
      </c>
      <c r="O115" s="5">
        <v>89</v>
      </c>
      <c r="P115" s="5">
        <v>83</v>
      </c>
      <c r="Q115" s="5">
        <v>87</v>
      </c>
      <c r="R115" s="5">
        <v>235</v>
      </c>
      <c r="S115" s="3">
        <v>1600</v>
      </c>
      <c r="T115" s="6">
        <v>40.893000000000001</v>
      </c>
      <c r="U115" s="3">
        <v>170</v>
      </c>
      <c r="V115" s="3">
        <v>270</v>
      </c>
      <c r="W115" s="6">
        <v>4.226</v>
      </c>
    </row>
    <row r="116" spans="1:23" ht="99.95" customHeight="1" x14ac:dyDescent="0.25">
      <c r="A116" s="39">
        <v>100</v>
      </c>
      <c r="B116" s="39">
        <v>75</v>
      </c>
      <c r="C116" s="36">
        <v>6</v>
      </c>
      <c r="D116" s="36">
        <v>1175</v>
      </c>
      <c r="E116" s="37" t="s">
        <v>39</v>
      </c>
      <c r="F116" s="33" t="s">
        <v>45</v>
      </c>
      <c r="G116" s="33"/>
      <c r="H116" s="33"/>
      <c r="I116" s="34" t="str">
        <f t="shared" si="11"/>
        <v>Induction motor - TEFC
100 Hp, 75 Kw,  3 Phase
 220/380/440v, 60 Hz
6 Pole - 1175 rpm
Foot mounted - A250MC  Frame
TECO Brand</v>
      </c>
      <c r="J116" s="34" t="s">
        <v>158</v>
      </c>
      <c r="K116" s="34" t="s">
        <v>96</v>
      </c>
      <c r="L116" s="8">
        <v>93.5</v>
      </c>
      <c r="M116" s="8">
        <v>94</v>
      </c>
      <c r="N116" s="8">
        <v>93.5</v>
      </c>
      <c r="O116" s="8">
        <v>86</v>
      </c>
      <c r="P116" s="8">
        <v>83.5</v>
      </c>
      <c r="Q116" s="8">
        <v>78.5</v>
      </c>
      <c r="R116" s="8">
        <v>244</v>
      </c>
      <c r="S116" s="7">
        <v>1600</v>
      </c>
      <c r="T116" s="9">
        <v>61.774999999999999</v>
      </c>
      <c r="U116" s="7">
        <v>200</v>
      </c>
      <c r="V116" s="7">
        <v>250</v>
      </c>
      <c r="W116" s="9">
        <v>6.3819999999999997</v>
      </c>
    </row>
    <row r="117" spans="1:23" ht="99.95" customHeight="1" x14ac:dyDescent="0.25">
      <c r="A117" s="39">
        <v>125</v>
      </c>
      <c r="B117" s="39">
        <v>90</v>
      </c>
      <c r="C117" s="36">
        <v>2</v>
      </c>
      <c r="D117" s="36">
        <v>3555</v>
      </c>
      <c r="E117" s="37" t="s">
        <v>41</v>
      </c>
      <c r="F117" s="33" t="s">
        <v>45</v>
      </c>
      <c r="G117" s="33"/>
      <c r="H117" s="33"/>
      <c r="I117" s="34" t="str">
        <f t="shared" si="11"/>
        <v>Induction motor - TEFC
125 Hp, 90 Kw,  3 Phase
 220/380/440v, 60 Hz
2 Pole - 3555 rpm
Foot mounted - A250MA  Frame
TECO Brand</v>
      </c>
      <c r="J117" s="34" t="s">
        <v>159</v>
      </c>
      <c r="K117" s="34" t="s">
        <v>97</v>
      </c>
      <c r="L117" s="8">
        <v>94</v>
      </c>
      <c r="M117" s="8">
        <v>93.5</v>
      </c>
      <c r="N117" s="8">
        <v>92</v>
      </c>
      <c r="O117" s="8">
        <v>91.5</v>
      </c>
      <c r="P117" s="8">
        <v>90.5</v>
      </c>
      <c r="Q117" s="8">
        <v>86.5</v>
      </c>
      <c r="R117" s="8">
        <v>285</v>
      </c>
      <c r="S117" s="7">
        <v>2150</v>
      </c>
      <c r="T117" s="9">
        <v>25.521999999999998</v>
      </c>
      <c r="U117" s="7">
        <v>150</v>
      </c>
      <c r="V117" s="7">
        <v>260</v>
      </c>
      <c r="W117" s="9">
        <v>2.0139999999999998</v>
      </c>
    </row>
    <row r="118" spans="1:23" ht="99.95" customHeight="1" x14ac:dyDescent="0.25">
      <c r="A118" s="38">
        <v>125</v>
      </c>
      <c r="B118" s="38">
        <v>90</v>
      </c>
      <c r="C118" s="32">
        <v>4</v>
      </c>
      <c r="D118" s="32">
        <v>1770</v>
      </c>
      <c r="E118" s="33" t="s">
        <v>39</v>
      </c>
      <c r="F118" s="33" t="s">
        <v>45</v>
      </c>
      <c r="G118" s="33"/>
      <c r="H118" s="33"/>
      <c r="I118" s="34" t="str">
        <f t="shared" si="11"/>
        <v>Induction motor - TEFC
125 Hp, 90 Kw,  3 Phase
 220/380/440v, 60 Hz
4 Pole - 1770 rpm
Foot mounted - A250MC  Frame
TECO Brand</v>
      </c>
      <c r="J118" s="34" t="s">
        <v>160</v>
      </c>
      <c r="K118" s="34" t="s">
        <v>98</v>
      </c>
      <c r="L118" s="5">
        <v>94</v>
      </c>
      <c r="M118" s="5">
        <v>94</v>
      </c>
      <c r="N118" s="5">
        <v>93</v>
      </c>
      <c r="O118" s="5">
        <v>92</v>
      </c>
      <c r="P118" s="5">
        <v>92</v>
      </c>
      <c r="Q118" s="5">
        <v>89.5</v>
      </c>
      <c r="R118" s="5">
        <v>283</v>
      </c>
      <c r="S118" s="3">
        <v>2150</v>
      </c>
      <c r="T118" s="6">
        <v>51.261000000000003</v>
      </c>
      <c r="U118" s="3">
        <v>190</v>
      </c>
      <c r="V118" s="3">
        <v>230</v>
      </c>
      <c r="W118" s="6">
        <v>5.101</v>
      </c>
    </row>
    <row r="119" spans="1:23" ht="99.95" customHeight="1" x14ac:dyDescent="0.25">
      <c r="A119" s="39">
        <v>125</v>
      </c>
      <c r="B119" s="39">
        <v>90</v>
      </c>
      <c r="C119" s="36">
        <v>6</v>
      </c>
      <c r="D119" s="36">
        <v>1180</v>
      </c>
      <c r="E119" s="37" t="s">
        <v>37</v>
      </c>
      <c r="F119" s="33" t="s">
        <v>45</v>
      </c>
      <c r="G119" s="33"/>
      <c r="H119" s="33"/>
      <c r="I119" s="34" t="str">
        <f t="shared" si="11"/>
        <v>Induction motor - TEFC
125 Hp, 90 Kw,  3 Phase
 220/380/440v, 60 Hz
6 Pole - 1180 rpm
Foot mounted - 280S  Frame
TECO Brand</v>
      </c>
      <c r="J119" s="34" t="s">
        <v>161</v>
      </c>
      <c r="K119" s="34" t="s">
        <v>99</v>
      </c>
      <c r="L119" s="8">
        <v>94</v>
      </c>
      <c r="M119" s="8">
        <v>92.8</v>
      </c>
      <c r="N119" s="8">
        <v>92</v>
      </c>
      <c r="O119" s="8">
        <v>85</v>
      </c>
      <c r="P119" s="8">
        <v>81.5</v>
      </c>
      <c r="Q119" s="8">
        <v>73.5</v>
      </c>
      <c r="R119" s="8">
        <v>296</v>
      </c>
      <c r="S119" s="7">
        <v>1990</v>
      </c>
      <c r="T119" s="9">
        <v>74.3</v>
      </c>
      <c r="U119" s="7">
        <v>130</v>
      </c>
      <c r="V119" s="7">
        <v>230</v>
      </c>
      <c r="W119" s="9">
        <v>13.8</v>
      </c>
    </row>
    <row r="120" spans="1:23" ht="99.95" customHeight="1" x14ac:dyDescent="0.25">
      <c r="A120" s="39">
        <v>150</v>
      </c>
      <c r="B120" s="39">
        <v>110</v>
      </c>
      <c r="C120" s="36">
        <v>2</v>
      </c>
      <c r="D120" s="36">
        <v>3565</v>
      </c>
      <c r="E120" s="37" t="s">
        <v>37</v>
      </c>
      <c r="F120" s="33" t="s">
        <v>45</v>
      </c>
      <c r="G120" s="33"/>
      <c r="H120" s="33"/>
      <c r="I120" s="34" t="str">
        <f t="shared" si="11"/>
        <v>Induction motor - TEFC
150 Hp, 110 Kw,  3 Phase
 220/380/440v, 60 Hz
2 Pole - 3565 rpm
Foot mounted - 280S  Frame
TECO Brand</v>
      </c>
      <c r="J120" s="34" t="s">
        <v>162</v>
      </c>
      <c r="K120" s="34" t="s">
        <v>100</v>
      </c>
      <c r="L120" s="8">
        <v>94</v>
      </c>
      <c r="M120" s="8">
        <v>93.3</v>
      </c>
      <c r="N120" s="8">
        <v>91.5</v>
      </c>
      <c r="O120" s="8">
        <v>89.5</v>
      </c>
      <c r="P120" s="8">
        <v>84</v>
      </c>
      <c r="Q120" s="8">
        <v>88.5</v>
      </c>
      <c r="R120" s="8">
        <v>343</v>
      </c>
      <c r="S120" s="7">
        <v>2435</v>
      </c>
      <c r="T120" s="9">
        <v>30</v>
      </c>
      <c r="U120" s="7">
        <v>100</v>
      </c>
      <c r="V120" s="7">
        <v>220</v>
      </c>
      <c r="W120" s="9">
        <v>4</v>
      </c>
    </row>
    <row r="121" spans="1:23" ht="99.95" customHeight="1" x14ac:dyDescent="0.25">
      <c r="A121" s="38">
        <v>150</v>
      </c>
      <c r="B121" s="38">
        <v>110</v>
      </c>
      <c r="C121" s="32">
        <v>4</v>
      </c>
      <c r="D121" s="32">
        <v>1770</v>
      </c>
      <c r="E121" s="33" t="s">
        <v>37</v>
      </c>
      <c r="F121" s="33" t="s">
        <v>45</v>
      </c>
      <c r="G121" s="33"/>
      <c r="H121" s="33"/>
      <c r="I121" s="34" t="str">
        <f t="shared" si="11"/>
        <v>Induction motor - TEFC
150 Hp, 110 Kw,  3 Phase
 220/380/440v, 60 Hz
4 Pole - 1770 rpm
Foot mounted - 280S  Frame
TECO Brand</v>
      </c>
      <c r="J121" s="34" t="s">
        <v>163</v>
      </c>
      <c r="K121" s="34" t="s">
        <v>101</v>
      </c>
      <c r="L121" s="5">
        <v>94.7</v>
      </c>
      <c r="M121" s="5">
        <v>94.2</v>
      </c>
      <c r="N121" s="5">
        <v>92.7</v>
      </c>
      <c r="O121" s="5">
        <v>87</v>
      </c>
      <c r="P121" s="5">
        <v>78</v>
      </c>
      <c r="Q121" s="5">
        <v>85</v>
      </c>
      <c r="R121" s="5">
        <v>350</v>
      </c>
      <c r="S121" s="3">
        <v>2435</v>
      </c>
      <c r="T121" s="6">
        <v>60.5</v>
      </c>
      <c r="U121" s="3">
        <v>130</v>
      </c>
      <c r="V121" s="3">
        <v>230</v>
      </c>
      <c r="W121" s="6">
        <v>7.6</v>
      </c>
    </row>
    <row r="122" spans="1:23" ht="99.95" customHeight="1" x14ac:dyDescent="0.25">
      <c r="A122" s="39">
        <v>150</v>
      </c>
      <c r="B122" s="39">
        <v>110</v>
      </c>
      <c r="C122" s="36">
        <v>6</v>
      </c>
      <c r="D122" s="36">
        <v>1180</v>
      </c>
      <c r="E122" s="37" t="s">
        <v>40</v>
      </c>
      <c r="F122" s="33" t="s">
        <v>45</v>
      </c>
      <c r="G122" s="33"/>
      <c r="H122" s="33"/>
      <c r="I122" s="34" t="str">
        <f t="shared" si="11"/>
        <v>Induction motor - TEFC
150 Hp, 110 Kw,  3 Phase
 220/380/440v, 60 Hz
6 Pole - 1180 rpm
Foot mounted - 280M  Frame
TECO Brand</v>
      </c>
      <c r="J122" s="34" t="s">
        <v>164</v>
      </c>
      <c r="K122" s="34" t="s">
        <v>102</v>
      </c>
      <c r="L122" s="8">
        <v>94.3</v>
      </c>
      <c r="M122" s="8">
        <v>93.6</v>
      </c>
      <c r="N122" s="8">
        <v>92</v>
      </c>
      <c r="O122" s="8">
        <v>85.5</v>
      </c>
      <c r="P122" s="8">
        <v>73.5</v>
      </c>
      <c r="Q122" s="8">
        <v>82</v>
      </c>
      <c r="R122" s="8">
        <v>358</v>
      </c>
      <c r="S122" s="7">
        <v>2435</v>
      </c>
      <c r="T122" s="9">
        <v>90.8</v>
      </c>
      <c r="U122" s="7">
        <v>130</v>
      </c>
      <c r="V122" s="7">
        <v>230</v>
      </c>
      <c r="W122" s="9">
        <v>15.2</v>
      </c>
    </row>
    <row r="123" spans="1:23" ht="99.95" customHeight="1" x14ac:dyDescent="0.25">
      <c r="A123" s="39">
        <v>175</v>
      </c>
      <c r="B123" s="39">
        <v>132</v>
      </c>
      <c r="C123" s="36">
        <v>2</v>
      </c>
      <c r="D123" s="36">
        <v>3565</v>
      </c>
      <c r="E123" s="37" t="s">
        <v>40</v>
      </c>
      <c r="F123" s="33" t="s">
        <v>45</v>
      </c>
      <c r="G123" s="33"/>
      <c r="H123" s="33"/>
      <c r="I123" s="34" t="str">
        <f t="shared" si="11"/>
        <v>Induction motor - TEFC
175 Hp, 132 Kw,  3 Phase
 220/380/440v, 60 Hz
2 Pole - 3565 rpm
Foot mounted - 280M  Frame
TECO Brand</v>
      </c>
      <c r="J123" s="34" t="s">
        <v>165</v>
      </c>
      <c r="K123" s="34" t="s">
        <v>103</v>
      </c>
      <c r="L123" s="8">
        <v>94.5</v>
      </c>
      <c r="M123" s="8">
        <v>93.8</v>
      </c>
      <c r="N123" s="8">
        <v>92</v>
      </c>
      <c r="O123" s="8">
        <v>89</v>
      </c>
      <c r="P123" s="8">
        <v>88</v>
      </c>
      <c r="Q123" s="8">
        <v>83.5</v>
      </c>
      <c r="R123" s="8">
        <v>412</v>
      </c>
      <c r="S123" s="7">
        <v>2920</v>
      </c>
      <c r="T123" s="9">
        <v>36.1</v>
      </c>
      <c r="U123" s="7">
        <v>100</v>
      </c>
      <c r="V123" s="7">
        <v>220</v>
      </c>
      <c r="W123" s="9">
        <v>4.5</v>
      </c>
    </row>
    <row r="124" spans="1:23" ht="99.95" customHeight="1" x14ac:dyDescent="0.25">
      <c r="A124" s="38">
        <v>175</v>
      </c>
      <c r="B124" s="38">
        <v>132</v>
      </c>
      <c r="C124" s="32">
        <v>4</v>
      </c>
      <c r="D124" s="32">
        <v>1770</v>
      </c>
      <c r="E124" s="33" t="s">
        <v>40</v>
      </c>
      <c r="F124" s="33" t="s">
        <v>45</v>
      </c>
      <c r="G124" s="33"/>
      <c r="H124" s="33"/>
      <c r="I124" s="34" t="str">
        <f t="shared" si="11"/>
        <v>Induction motor - TEFC
175 Hp, 132 Kw,  3 Phase
 220/380/440v, 60 Hz
4 Pole - 1770 rpm
Foot mounted - 280M  Frame
TECO Brand</v>
      </c>
      <c r="J124" s="34" t="s">
        <v>166</v>
      </c>
      <c r="K124" s="34" t="s">
        <v>104</v>
      </c>
      <c r="L124" s="5">
        <v>94.9</v>
      </c>
      <c r="M124" s="5">
        <v>94.4</v>
      </c>
      <c r="N124" s="5">
        <v>92.9</v>
      </c>
      <c r="O124" s="5">
        <v>88</v>
      </c>
      <c r="P124" s="5">
        <v>79</v>
      </c>
      <c r="Q124" s="5">
        <v>86</v>
      </c>
      <c r="R124" s="5">
        <v>415</v>
      </c>
      <c r="S124" s="3">
        <v>2920</v>
      </c>
      <c r="T124" s="6">
        <v>72.599999999999994</v>
      </c>
      <c r="U124" s="3">
        <v>130</v>
      </c>
      <c r="V124" s="3">
        <v>230</v>
      </c>
      <c r="W124" s="6">
        <v>8.6</v>
      </c>
    </row>
    <row r="125" spans="1:23" ht="99.95" customHeight="1" x14ac:dyDescent="0.25">
      <c r="A125" s="39">
        <v>175</v>
      </c>
      <c r="B125" s="39">
        <v>132</v>
      </c>
      <c r="C125" s="36">
        <v>6</v>
      </c>
      <c r="D125" s="36">
        <v>1185</v>
      </c>
      <c r="E125" s="37" t="s">
        <v>42</v>
      </c>
      <c r="F125" s="33" t="s">
        <v>45</v>
      </c>
      <c r="G125" s="33"/>
      <c r="H125" s="33"/>
      <c r="I125" s="34" t="str">
        <f t="shared" si="11"/>
        <v>Induction motor - TEFC
175 Hp, 132 Kw,  3 Phase
 220/380/440v, 60 Hz
6 Pole - 1185 rpm
Foot mounted - 315S  Frame
TECO Brand</v>
      </c>
      <c r="J125" s="34" t="s">
        <v>167</v>
      </c>
      <c r="K125" s="34" t="s">
        <v>105</v>
      </c>
      <c r="L125" s="8">
        <v>94.5</v>
      </c>
      <c r="M125" s="8">
        <v>94</v>
      </c>
      <c r="N125" s="8">
        <v>92.5</v>
      </c>
      <c r="O125" s="8">
        <v>86</v>
      </c>
      <c r="P125" s="8">
        <v>77</v>
      </c>
      <c r="Q125" s="8">
        <v>83</v>
      </c>
      <c r="R125" s="8">
        <v>426</v>
      </c>
      <c r="S125" s="7">
        <v>2920</v>
      </c>
      <c r="T125" s="9">
        <v>108.5</v>
      </c>
      <c r="U125" s="7">
        <v>130</v>
      </c>
      <c r="V125" s="7">
        <v>230</v>
      </c>
      <c r="W125" s="9">
        <v>18.5</v>
      </c>
    </row>
    <row r="126" spans="1:23" ht="99.95" customHeight="1" x14ac:dyDescent="0.25">
      <c r="A126" s="38">
        <v>200</v>
      </c>
      <c r="B126" s="38">
        <v>160</v>
      </c>
      <c r="C126" s="32">
        <v>2</v>
      </c>
      <c r="D126" s="32">
        <v>3570</v>
      </c>
      <c r="E126" s="33" t="s">
        <v>42</v>
      </c>
      <c r="F126" s="33" t="s">
        <v>45</v>
      </c>
      <c r="G126" s="33"/>
      <c r="H126" s="33"/>
      <c r="I126" s="34" t="str">
        <f t="shared" si="11"/>
        <v>Induction motor - TEFC
200 Hp, 160 Kw,  3 Phase
 220/380/440v, 60 Hz
2 Pole - 3570 rpm
Foot mounted - 315S  Frame
TECO Brand</v>
      </c>
      <c r="J126" s="34" t="s">
        <v>168</v>
      </c>
      <c r="K126" s="34" t="s">
        <v>106</v>
      </c>
      <c r="L126" s="5">
        <v>94.8</v>
      </c>
      <c r="M126" s="5">
        <v>94.1</v>
      </c>
      <c r="N126" s="5">
        <v>92</v>
      </c>
      <c r="O126" s="5">
        <v>90.5</v>
      </c>
      <c r="P126" s="5">
        <v>86.5</v>
      </c>
      <c r="Q126" s="5">
        <v>79.8</v>
      </c>
      <c r="R126" s="5">
        <v>489</v>
      </c>
      <c r="S126" s="3">
        <v>3540</v>
      </c>
      <c r="T126" s="6">
        <v>43.6</v>
      </c>
      <c r="U126" s="3">
        <v>100</v>
      </c>
      <c r="V126" s="3">
        <v>220</v>
      </c>
      <c r="W126" s="6">
        <v>5.7</v>
      </c>
    </row>
    <row r="127" spans="1:23" ht="99.95" customHeight="1" x14ac:dyDescent="0.25">
      <c r="A127" s="39">
        <v>200</v>
      </c>
      <c r="B127" s="39">
        <v>160</v>
      </c>
      <c r="C127" s="36">
        <v>4</v>
      </c>
      <c r="D127" s="36">
        <v>1775</v>
      </c>
      <c r="E127" s="37" t="s">
        <v>42</v>
      </c>
      <c r="F127" s="33" t="s">
        <v>45</v>
      </c>
      <c r="G127" s="33"/>
      <c r="H127" s="33"/>
      <c r="I127" s="34" t="str">
        <f t="shared" si="11"/>
        <v>Induction motor - TEFC
200 Hp, 160 Kw,  3 Phase
 220/380/440v, 60 Hz
4 Pole - 1775 rpm
Foot mounted - 315S  Frame
TECO Brand</v>
      </c>
      <c r="J127" s="34" t="s">
        <v>169</v>
      </c>
      <c r="K127" s="34" t="s">
        <v>107</v>
      </c>
      <c r="L127" s="8">
        <v>95</v>
      </c>
      <c r="M127" s="8">
        <v>94.5</v>
      </c>
      <c r="N127" s="8">
        <v>92.9</v>
      </c>
      <c r="O127" s="8">
        <v>89.5</v>
      </c>
      <c r="P127" s="8">
        <v>87.5</v>
      </c>
      <c r="Q127" s="8">
        <v>80.5</v>
      </c>
      <c r="R127" s="8">
        <v>494</v>
      </c>
      <c r="S127" s="7">
        <v>3540</v>
      </c>
      <c r="T127" s="9">
        <v>87.8</v>
      </c>
      <c r="U127" s="7">
        <v>130</v>
      </c>
      <c r="V127" s="7">
        <v>230</v>
      </c>
      <c r="W127" s="9">
        <v>11.2</v>
      </c>
    </row>
    <row r="128" spans="1:23" ht="99.95" customHeight="1" x14ac:dyDescent="0.25">
      <c r="A128" s="38">
        <v>200</v>
      </c>
      <c r="B128" s="38">
        <v>160</v>
      </c>
      <c r="C128" s="32">
        <v>6</v>
      </c>
      <c r="D128" s="32">
        <v>1185</v>
      </c>
      <c r="E128" s="33" t="s">
        <v>43</v>
      </c>
      <c r="F128" s="33" t="s">
        <v>45</v>
      </c>
      <c r="G128" s="33"/>
      <c r="H128" s="33"/>
      <c r="I128" s="34" t="str">
        <f t="shared" si="11"/>
        <v>Induction motor - TEFC
200 Hp, 160 Kw,  3 Phase
 220/380/440v, 60 Hz
6 Pole - 1185 rpm
Foot mounted - 315M  Frame
TECO Brand</v>
      </c>
      <c r="J128" s="34" t="s">
        <v>170</v>
      </c>
      <c r="K128" s="34" t="s">
        <v>108</v>
      </c>
      <c r="L128" s="5">
        <v>94.6</v>
      </c>
      <c r="M128" s="5">
        <v>94.2</v>
      </c>
      <c r="N128" s="5">
        <v>92.7</v>
      </c>
      <c r="O128" s="5">
        <v>86.5</v>
      </c>
      <c r="P128" s="5">
        <v>80</v>
      </c>
      <c r="Q128" s="5">
        <v>83.5</v>
      </c>
      <c r="R128" s="5">
        <v>513</v>
      </c>
      <c r="S128" s="3">
        <v>3540</v>
      </c>
      <c r="T128" s="6">
        <v>131.5</v>
      </c>
      <c r="U128" s="3">
        <v>130</v>
      </c>
      <c r="V128" s="3">
        <v>230</v>
      </c>
      <c r="W128" s="6">
        <v>21.4</v>
      </c>
    </row>
    <row r="129" spans="1:23" ht="99.95" customHeight="1" x14ac:dyDescent="0.25">
      <c r="A129" s="39">
        <v>250</v>
      </c>
      <c r="B129" s="39">
        <v>200</v>
      </c>
      <c r="C129" s="36">
        <v>2</v>
      </c>
      <c r="D129" s="36">
        <v>3570</v>
      </c>
      <c r="E129" s="37" t="s">
        <v>43</v>
      </c>
      <c r="F129" s="33" t="s">
        <v>45</v>
      </c>
      <c r="G129" s="33"/>
      <c r="H129" s="33"/>
      <c r="I129" s="34" t="str">
        <f t="shared" si="11"/>
        <v>Induction motor - TEFC
250 Hp, 200 Kw,  3 Phase
 220/380/440v, 60 Hz
2 Pole - 3570 rpm
Foot mounted - 315M  Frame
TECO Brand</v>
      </c>
      <c r="J129" s="34" t="s">
        <v>171</v>
      </c>
      <c r="K129" s="34" t="s">
        <v>109</v>
      </c>
      <c r="L129" s="8">
        <v>95</v>
      </c>
      <c r="M129" s="8">
        <v>94.2</v>
      </c>
      <c r="N129" s="8">
        <v>92</v>
      </c>
      <c r="O129" s="8">
        <v>91.2</v>
      </c>
      <c r="P129" s="8">
        <v>90.5</v>
      </c>
      <c r="Q129" s="8">
        <v>88.5</v>
      </c>
      <c r="R129" s="8">
        <v>605</v>
      </c>
      <c r="S129" s="7">
        <v>4425</v>
      </c>
      <c r="T129" s="9">
        <v>54.7</v>
      </c>
      <c r="U129" s="7">
        <v>100</v>
      </c>
      <c r="V129" s="7">
        <v>220</v>
      </c>
      <c r="W129" s="9">
        <v>7.2</v>
      </c>
    </row>
    <row r="130" spans="1:23" ht="99.95" customHeight="1" x14ac:dyDescent="0.25">
      <c r="A130" s="38">
        <v>250</v>
      </c>
      <c r="B130" s="38">
        <v>200</v>
      </c>
      <c r="C130" s="32">
        <v>4</v>
      </c>
      <c r="D130" s="32">
        <v>1775</v>
      </c>
      <c r="E130" s="33" t="s">
        <v>43</v>
      </c>
      <c r="F130" s="33" t="s">
        <v>45</v>
      </c>
      <c r="G130" s="33"/>
      <c r="H130" s="33"/>
      <c r="I130" s="34" t="str">
        <f t="shared" si="11"/>
        <v>Induction motor - TEFC
250 Hp, 200 Kw,  3 Phase
 220/380/440v, 60 Hz
4 Pole - 1775 rpm
Foot mounted - 315M  Frame
TECO Brand</v>
      </c>
      <c r="J130" s="34" t="s">
        <v>172</v>
      </c>
      <c r="K130" s="34" t="s">
        <v>110</v>
      </c>
      <c r="L130" s="5">
        <v>95</v>
      </c>
      <c r="M130" s="5">
        <v>94.2</v>
      </c>
      <c r="N130" s="5">
        <v>92</v>
      </c>
      <c r="O130" s="5">
        <v>90</v>
      </c>
      <c r="P130" s="5">
        <v>88</v>
      </c>
      <c r="Q130" s="5">
        <v>80.5</v>
      </c>
      <c r="R130" s="5">
        <v>612</v>
      </c>
      <c r="S130" s="3">
        <v>4425</v>
      </c>
      <c r="T130" s="6">
        <v>109.7</v>
      </c>
      <c r="U130" s="3">
        <v>120</v>
      </c>
      <c r="V130" s="3">
        <v>230</v>
      </c>
      <c r="W130" s="6">
        <v>14.2</v>
      </c>
    </row>
  </sheetData>
  <mergeCells count="20">
    <mergeCell ref="A68:K68"/>
    <mergeCell ref="A59:K59"/>
    <mergeCell ref="A6:K6"/>
    <mergeCell ref="A2:W2"/>
    <mergeCell ref="H4:H5"/>
    <mergeCell ref="C4:C5"/>
    <mergeCell ref="I4:I5"/>
    <mergeCell ref="K4:K5"/>
    <mergeCell ref="J4:J5"/>
    <mergeCell ref="G4:G5"/>
    <mergeCell ref="F4:F5"/>
    <mergeCell ref="A4:B4"/>
    <mergeCell ref="D4:D5"/>
    <mergeCell ref="A1:W1"/>
    <mergeCell ref="E4:E5"/>
    <mergeCell ref="T4:V4"/>
    <mergeCell ref="O4:Q4"/>
    <mergeCell ref="W4:W5"/>
    <mergeCell ref="L4:N4"/>
    <mergeCell ref="R4:S4"/>
  </mergeCells>
  <pageMargins left="0.75" right="0.75" top="1" bottom="1" header="0.5" footer="0.5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9F5C3-F127-42CC-9EE4-1D15C15CDA3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TECO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Sales 1</cp:lastModifiedBy>
  <dcterms:created xsi:type="dcterms:W3CDTF">2026-07-04T07:12:01Z</dcterms:created>
  <dcterms:modified xsi:type="dcterms:W3CDTF">2026-07-04T09:20:09Z</dcterms:modified>
</cp:coreProperties>
</file>