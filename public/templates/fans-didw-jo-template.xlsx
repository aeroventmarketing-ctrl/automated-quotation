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FBM\documents\Job Orders\JO Original Files\"/>
    </mc:Choice>
  </mc:AlternateContent>
  <xr:revisionPtr revIDLastSave="0" documentId="13_ncr:1_{5378E8DE-20BD-428B-81BF-8378DC3D235C}" xr6:coauthVersionLast="47" xr6:coauthVersionMax="47" xr10:uidLastSave="{00000000-0000-0000-0000-000000000000}"/>
  <bookViews>
    <workbookView xWindow="-110" yWindow="-110" windowWidth="25820" windowHeight="15500" xr2:uid="{D46C57F3-5AEC-4817-9118-08C7135DF8D2}"/>
  </bookViews>
  <sheets>
    <sheet name="Centrifugal Blower-DIDW" sheetId="1" r:id="rId1"/>
    <sheet name="Source" sheetId="2" r:id="rId2"/>
  </sheets>
  <definedNames>
    <definedName name="Brand">Source!$H$3:$H$4</definedName>
    <definedName name="Hyundai">Source!$J$3</definedName>
    <definedName name="Hyundai_3Phase">Source!$M$3:$M$25</definedName>
    <definedName name="TECO">Source!$I$3:$I$4</definedName>
    <definedName name="TECO_1Phase">Source!$K$3:$K$10</definedName>
    <definedName name="TECO_3Phase">Source!$L$3:$L$25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9" i="2" l="1"/>
  <c r="D87" i="2"/>
  <c r="R15" i="1"/>
  <c r="B95" i="2"/>
  <c r="B76" i="2"/>
  <c r="D79" i="2" l="1"/>
  <c r="C50" i="1" s="1"/>
  <c r="N20" i="1"/>
  <c r="H20" i="1"/>
  <c r="C17" i="1"/>
  <c r="N15" i="1"/>
  <c r="J15" i="1"/>
  <c r="H15" i="1"/>
  <c r="F15" i="1"/>
  <c r="D13" i="1"/>
  <c r="S13" i="1"/>
  <c r="C44" i="1"/>
  <c r="D81" i="2"/>
  <c r="D95" i="2" s="1"/>
  <c r="U48" i="1" s="1"/>
  <c r="D80" i="2"/>
  <c r="J48" i="1" s="1"/>
  <c r="D93" i="2"/>
  <c r="G48" i="1" s="1"/>
  <c r="D92" i="2"/>
  <c r="O46" i="1" s="1"/>
  <c r="D91" i="2"/>
  <c r="D94" i="2" s="1"/>
  <c r="U46" i="1" s="1"/>
  <c r="D90" i="2"/>
  <c r="L44" i="1" s="1"/>
  <c r="D88" i="2"/>
  <c r="E44" i="1" s="1"/>
  <c r="U44" i="1"/>
  <c r="V44" i="1"/>
  <c r="P44" i="1"/>
  <c r="J44" i="1"/>
  <c r="G44" i="1"/>
  <c r="C48" i="1"/>
  <c r="C46" i="1"/>
  <c r="K40" i="1"/>
  <c r="C42" i="1"/>
  <c r="K56" i="1"/>
  <c r="D78" i="2"/>
  <c r="C56" i="1" s="1"/>
  <c r="D77" i="2"/>
  <c r="C40" i="1"/>
  <c r="C38" i="1"/>
  <c r="R36" i="1"/>
  <c r="C36" i="1"/>
  <c r="R38" i="1"/>
  <c r="D76" i="2" l="1"/>
  <c r="B98" i="2" s="1"/>
  <c r="B94" i="2"/>
  <c r="N44" i="1"/>
  <c r="G46" i="1"/>
  <c r="J46" i="1"/>
  <c r="D52" i="1"/>
  <c r="I42" i="1" l="1"/>
</calcChain>
</file>

<file path=xl/sharedStrings.xml><?xml version="1.0" encoding="utf-8"?>
<sst xmlns="http://schemas.openxmlformats.org/spreadsheetml/2006/main" count="474" uniqueCount="235">
  <si>
    <t>Orientation</t>
  </si>
  <si>
    <t>Drive Motor</t>
  </si>
  <si>
    <t>Rotation</t>
  </si>
  <si>
    <t>Capacity</t>
  </si>
  <si>
    <t>Speed</t>
  </si>
  <si>
    <t>Motor Pulley</t>
  </si>
  <si>
    <t>Fan Pulley</t>
  </si>
  <si>
    <t>Hub</t>
  </si>
  <si>
    <t>Shafting</t>
  </si>
  <si>
    <t>Belt</t>
  </si>
  <si>
    <t>Bearing</t>
  </si>
  <si>
    <t>Clockwise</t>
  </si>
  <si>
    <t>Counterclockwise</t>
  </si>
  <si>
    <t>UCP207</t>
  </si>
  <si>
    <t>UCP208</t>
  </si>
  <si>
    <t>UCP209</t>
  </si>
  <si>
    <t>UCP211</t>
  </si>
  <si>
    <t>UCP212</t>
  </si>
  <si>
    <t>UCP213</t>
  </si>
  <si>
    <t>UCP215</t>
  </si>
  <si>
    <t>Impeller</t>
  </si>
  <si>
    <t>:</t>
  </si>
  <si>
    <t>Drive</t>
  </si>
  <si>
    <t>___________________________________</t>
  </si>
  <si>
    <t>Clockwise &amp; Counterclockwise</t>
  </si>
  <si>
    <t>Backward Curved</t>
  </si>
  <si>
    <t>Forward Curved</t>
  </si>
  <si>
    <t>Direct</t>
  </si>
  <si>
    <t>Top Horizontal</t>
  </si>
  <si>
    <t xml:space="preserve"> </t>
  </si>
  <si>
    <t>Bottom Horizontal</t>
  </si>
  <si>
    <t>Upblast</t>
  </si>
  <si>
    <t>Downblast</t>
  </si>
  <si>
    <t>Top Angular Up</t>
  </si>
  <si>
    <t>Top Angular Down</t>
  </si>
  <si>
    <t>Bottom Angular Up</t>
  </si>
  <si>
    <t>Bottom Angular Down</t>
  </si>
  <si>
    <t>/afbm rev 7 : 03/28/2026</t>
  </si>
  <si>
    <t>Blade Diameter</t>
  </si>
  <si>
    <t>Motor HP</t>
  </si>
  <si>
    <t>Motor Phase</t>
  </si>
  <si>
    <t>Bore Size</t>
  </si>
  <si>
    <t>Hub Details</t>
  </si>
  <si>
    <t>4”Ø x 4”L x 2"Ø bore x 1/2” keyway</t>
  </si>
  <si>
    <t>4 1/2”Ø x 4 1/2”L x 2 1/2"Ø bore x 1/2” keyway</t>
  </si>
  <si>
    <t>5”Ø x 5”L x 3"Ø bore x 1/2” keyway</t>
  </si>
  <si>
    <t>1 1/4"Ø x 3/8” keyway</t>
  </si>
  <si>
    <t>1 1/2”Ø x 3/8” keyway</t>
  </si>
  <si>
    <t>1 3/4 x 1/2” keyway</t>
  </si>
  <si>
    <t>2"Ø x 1/2” keyway</t>
  </si>
  <si>
    <t>2 1/2"Ø x 1/2” keyway</t>
  </si>
  <si>
    <t>3"Ø x 1/2” keyway</t>
  </si>
  <si>
    <t>3”Ø x 3”L x 1 1/2”Ø bore x 3/8” keyway</t>
  </si>
  <si>
    <t>Backwardly Inclined</t>
  </si>
  <si>
    <t>Directly Coupled</t>
  </si>
  <si>
    <t>RPM</t>
  </si>
  <si>
    <t>Shaft Diameter</t>
  </si>
  <si>
    <t>Keyway</t>
  </si>
  <si>
    <t>Centrifugal Blower</t>
  </si>
  <si>
    <t>Blade Type</t>
  </si>
  <si>
    <t>Drive Type</t>
  </si>
  <si>
    <t>Motor PH</t>
  </si>
  <si>
    <t>Voltage</t>
  </si>
  <si>
    <t>Test at 0" w.g.</t>
  </si>
  <si>
    <t>rpm</t>
  </si>
  <si>
    <t>Quantity</t>
  </si>
  <si>
    <t>Type</t>
  </si>
  <si>
    <t>pcs</t>
  </si>
  <si>
    <t>--</t>
  </si>
  <si>
    <t>Motor RPM</t>
  </si>
  <si>
    <t>Computed Fan RPM</t>
  </si>
  <si>
    <t>Motor Brand</t>
  </si>
  <si>
    <t>TECO</t>
  </si>
  <si>
    <t>Hyundai</t>
  </si>
  <si>
    <t xml:space="preserve">HP, </t>
  </si>
  <si>
    <t>PH,</t>
  </si>
  <si>
    <t>V,</t>
  </si>
  <si>
    <t>Hz,</t>
  </si>
  <si>
    <t>pole,</t>
  </si>
  <si>
    <t>rpm,</t>
  </si>
  <si>
    <t>Foot Mounted</t>
  </si>
  <si>
    <t>Flanged Mounted</t>
  </si>
  <si>
    <t>TEFC</t>
  </si>
  <si>
    <t>,</t>
  </si>
  <si>
    <t>x</t>
  </si>
  <si>
    <t>mm keyway</t>
  </si>
  <si>
    <t>"Ø x</t>
  </si>
  <si>
    <t>mm Ø bore</t>
  </si>
  <si>
    <t>1 1/4”Ø bore x 3/8" keyway</t>
  </si>
  <si>
    <t>1 1/2”Ø bore x 3/8" keyway</t>
  </si>
  <si>
    <t>1 3/4”Ø bore x 1/2" keyway</t>
  </si>
  <si>
    <t>2”Ø bore x 1/2" keyway</t>
  </si>
  <si>
    <t>2 1/4”Ø x 1/2" keyway</t>
  </si>
  <si>
    <t>2 1/2”Ø x 1/2" keyway</t>
  </si>
  <si>
    <t>3”Ø x 1/2" keyway</t>
  </si>
  <si>
    <t>2 1/2”Ø x 2 1/2”L x 1 1/4"Ø bore x 3/8” keyway</t>
  </si>
  <si>
    <t>Frequency</t>
  </si>
  <si>
    <t>Pole</t>
  </si>
  <si>
    <t>Mounting</t>
  </si>
  <si>
    <t>Enclosure</t>
  </si>
  <si>
    <t>Exproof</t>
  </si>
  <si>
    <t>4”Ø x 4”L x 2 1/4"Ø bore x 1/2” keyway</t>
  </si>
  <si>
    <t>Motor Shaft</t>
  </si>
  <si>
    <t>Motor Keyway</t>
  </si>
  <si>
    <t>Brand</t>
  </si>
  <si>
    <t>Motor PH (Alias)</t>
  </si>
  <si>
    <t>Single Phase, 4 pole, 60Hz</t>
  </si>
  <si>
    <t>Three Phase, 4 pole, 60Hz, TECO</t>
  </si>
  <si>
    <t>Single Phase, 4 pole, 60Hz, TECO</t>
  </si>
  <si>
    <t>Three Phase, 4 pole, 60Hz, Hyundai</t>
  </si>
  <si>
    <t>1/4 HP, 1PH, TECO</t>
  </si>
  <si>
    <t>1/2 HP, 1PH, TECO</t>
  </si>
  <si>
    <t>3 /4 HP, 1PH, TECO</t>
  </si>
  <si>
    <t>1 HP, 1PH, TECO</t>
  </si>
  <si>
    <t>1.5 HP, 1PH, TECO</t>
  </si>
  <si>
    <t>2 HP, 1PH, TECO</t>
  </si>
  <si>
    <t>3 HP, 1PH, TECO</t>
  </si>
  <si>
    <t>5 HP, 1PH, TECO</t>
  </si>
  <si>
    <t>1/2 HP, 3PH, TECO</t>
  </si>
  <si>
    <t>1 HP, 3PH, TECO</t>
  </si>
  <si>
    <t>1 1/2 HP, 3PH, TECO</t>
  </si>
  <si>
    <t>2 HP, 3PH, TECO</t>
  </si>
  <si>
    <t>3 HP, 3PH, TECO</t>
  </si>
  <si>
    <t>5 HP, 3PH, TECO</t>
  </si>
  <si>
    <t>7 1/2 HP, 3PH, TECO</t>
  </si>
  <si>
    <t>10 HP, 3PH, TECO</t>
  </si>
  <si>
    <t>15 HP, 3PH, TECO</t>
  </si>
  <si>
    <t>20 HP, 3PH, TECO</t>
  </si>
  <si>
    <t>25 HP, 3PH, TECO</t>
  </si>
  <si>
    <t>30 HP, 3PH, TECO</t>
  </si>
  <si>
    <t>40 HP, 3PH, TECO</t>
  </si>
  <si>
    <t>50 HP, 3PH, TECO</t>
  </si>
  <si>
    <t>60 HP, 3PH, TECO</t>
  </si>
  <si>
    <t>75 HP, 3PH, TECO</t>
  </si>
  <si>
    <t>100 HP, 3PH, TECO</t>
  </si>
  <si>
    <t>125 HP, 3PH, TECO</t>
  </si>
  <si>
    <t>150 HP, 3PH, TECO</t>
  </si>
  <si>
    <t>175 HP, 3PH, TECO</t>
  </si>
  <si>
    <t>200 HP, 3PH, TECO</t>
  </si>
  <si>
    <t>250 HP, 3PH, TECO</t>
  </si>
  <si>
    <t>300 HP, 3PH, TECO</t>
  </si>
  <si>
    <t>1/2 HP, 3PH, Hyundai</t>
  </si>
  <si>
    <t>1 HP, 3PH, Hyundai</t>
  </si>
  <si>
    <t>1 1/2 HP, 3PH, Hyundai</t>
  </si>
  <si>
    <t>2 HP, 3PH, Hyundai</t>
  </si>
  <si>
    <t>3 HP, 3PH, Hyundai</t>
  </si>
  <si>
    <t>5.5 HP, 3PH, Hyundai</t>
  </si>
  <si>
    <t>7 1/2 HP, 3PH, Hyundai</t>
  </si>
  <si>
    <t>10 HP, 3PH, Hyundai</t>
  </si>
  <si>
    <t>15 HP, 3PH, Hyundai</t>
  </si>
  <si>
    <t>20 HP, 3PH, Hyundai</t>
  </si>
  <si>
    <t>25 HP, 3PH, Hyundai</t>
  </si>
  <si>
    <t>30 HP, 3PH, Hyundai</t>
  </si>
  <si>
    <t>40 HP, 3PH, Hyundai</t>
  </si>
  <si>
    <t>50 HP, 3PH, Hyundai</t>
  </si>
  <si>
    <t>60 HP, 3PH, Hyundai</t>
  </si>
  <si>
    <t>75 HP, 3PH, Hyundai</t>
  </si>
  <si>
    <t>100 HP, 3PH, Hyundai</t>
  </si>
  <si>
    <t>125 HP, 3PH, Hyundai</t>
  </si>
  <si>
    <t>150 HP, 3PH, Hyundai</t>
  </si>
  <si>
    <t>200 HP, 3PH, Hyundai</t>
  </si>
  <si>
    <t>TECO_3Phase</t>
  </si>
  <si>
    <t>TECO_1Phase</t>
  </si>
  <si>
    <t>Hyundai_3Phase</t>
  </si>
  <si>
    <t>HP</t>
  </si>
  <si>
    <t>Phase</t>
  </si>
  <si>
    <t>RPM (Catalogue)</t>
  </si>
  <si>
    <t>Input Fan/Blower Details Here</t>
  </si>
  <si>
    <t>Input Motor Details Here</t>
  </si>
  <si>
    <t>Fan/Blower Details</t>
  </si>
  <si>
    <t>Motor Details</t>
  </si>
  <si>
    <t>Pulley</t>
  </si>
  <si>
    <t>1A</t>
  </si>
  <si>
    <t>2B</t>
  </si>
  <si>
    <t>3B</t>
  </si>
  <si>
    <t xml:space="preserve">3C </t>
  </si>
  <si>
    <t>4C</t>
  </si>
  <si>
    <t>5C</t>
  </si>
  <si>
    <t>6C</t>
  </si>
  <si>
    <t>Motor Pulley Hub</t>
  </si>
  <si>
    <t>Fan Pulley Hub</t>
  </si>
  <si>
    <t xml:space="preserve">Shaft </t>
  </si>
  <si>
    <t>Shaft in inches</t>
  </si>
  <si>
    <t>JOB ORDER#</t>
  </si>
  <si>
    <t>Project</t>
  </si>
  <si>
    <t>Target Date</t>
  </si>
  <si>
    <t>Date</t>
  </si>
  <si>
    <t>Target Date:</t>
  </si>
  <si>
    <t>__________________________________________</t>
  </si>
  <si>
    <t>____________________</t>
  </si>
  <si>
    <t>JOB ORDER</t>
  </si>
  <si>
    <t>PRODUCTION LEAD TIME</t>
  </si>
  <si>
    <t>Body</t>
  </si>
  <si>
    <t>days</t>
  </si>
  <si>
    <t>_____</t>
  </si>
  <si>
    <t>Job Order #</t>
  </si>
  <si>
    <t>Body Lead Time</t>
  </si>
  <si>
    <t>Blade Lead Time</t>
  </si>
  <si>
    <t>Header Details</t>
  </si>
  <si>
    <t>UOM</t>
  </si>
  <si>
    <t>" Ø</t>
  </si>
  <si>
    <t>Date Started:</t>
  </si>
  <si>
    <t>Date Finished:</t>
  </si>
  <si>
    <t>mm Ø Hub</t>
  </si>
  <si>
    <t>3 1/2” Ø x 3 1/2” L x 1 3/4"Ø bore x 1/2” keyway</t>
  </si>
  <si>
    <t>180 HP, 3PH, Hyundai</t>
  </si>
  <si>
    <t>270 HP, 3PH, Hyundai</t>
  </si>
  <si>
    <t>340 HP, 3PH, Hyundai</t>
  </si>
  <si>
    <t>Legend:</t>
  </si>
  <si>
    <t>Red - Editable</t>
  </si>
  <si>
    <t>Flange Mounted</t>
  </si>
  <si>
    <t>Blower Type</t>
  </si>
  <si>
    <t>CEBCAB</t>
  </si>
  <si>
    <t>CFABCAB</t>
  </si>
  <si>
    <t>Make</t>
  </si>
  <si>
    <t>Customized</t>
  </si>
  <si>
    <t>Client Design</t>
  </si>
  <si>
    <t>(</t>
  </si>
  <si>
    <t>)</t>
  </si>
  <si>
    <t xml:space="preserve">Standard </t>
  </si>
  <si>
    <t>_______________________________________________________________________________</t>
  </si>
  <si>
    <t>_____________________________</t>
  </si>
  <si>
    <t>_________________________________</t>
  </si>
  <si>
    <t>_________________________________________________________________________________________</t>
  </si>
  <si>
    <t>2A</t>
  </si>
  <si>
    <t>pcs.</t>
  </si>
  <si>
    <t>21,338 cfm @ 2" w.g.</t>
  </si>
  <si>
    <t>29,087 cfm @ 0" w.g.</t>
  </si>
  <si>
    <t>AFBM-JO2600054</t>
  </si>
  <si>
    <t>3 1/2”Ø x 5/8" keyway</t>
  </si>
  <si>
    <t>6”Ø x 6”L x 3 1/2"Ø bore x 5/8” keyway</t>
  </si>
  <si>
    <t>3 1/2"Ø x 5/8” keyway</t>
  </si>
  <si>
    <t>UCP218</t>
  </si>
  <si>
    <t>DIDWCEB</t>
  </si>
  <si>
    <t>DIDWCFAB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</si>
</sst>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9]mmmm\ dd\,\ yyyy;@"/>
  </numFmts>
  <fonts count="1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hessmasterx"/>
    </font>
    <font>
      <sz val="11"/>
      <color theme="1"/>
      <name val="Chessmaster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22"/>
      <color theme="1"/>
      <name val="Angsana New"/>
      <family val="1"/>
      <charset val="222"/>
    </font>
    <font>
      <sz val="14"/>
      <color theme="1"/>
      <name val="Angsana New"/>
      <family val="1"/>
      <charset val="222"/>
    </font>
    <font>
      <sz val="8"/>
      <color theme="1"/>
      <name val="Calibri"/>
      <family val="2"/>
      <scheme val="minor"/>
    </font>
    <font>
      <sz val="12"/>
      <color rgb="FFFF000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2" fontId="4" fillId="0" borderId="0" xfId="1" applyNumberFormat="1" applyFont="1"/>
    <xf numFmtId="0" fontId="5" fillId="0" borderId="0" xfId="0" applyFont="1"/>
    <xf numFmtId="0" fontId="4" fillId="0" borderId="0" xfId="0" quotePrefix="1" applyFont="1" applyAlignment="1">
      <alignment horizontal="center"/>
    </xf>
    <xf numFmtId="16" fontId="4" fillId="0" borderId="0" xfId="0" applyNumberFormat="1" applyFont="1" applyAlignment="1">
      <alignment horizontal="center" vertical="center"/>
    </xf>
    <xf numFmtId="16" fontId="7" fillId="0" borderId="0" xfId="0" applyNumberFormat="1" applyFont="1" applyAlignment="1">
      <alignment horizontal="center" vertical="center"/>
    </xf>
    <xf numFmtId="12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center"/>
    </xf>
    <xf numFmtId="16" fontId="8" fillId="0" borderId="0" xfId="0" applyNumberFormat="1" applyFont="1" applyAlignment="1">
      <alignment horizontal="center" vertical="center"/>
    </xf>
    <xf numFmtId="12" fontId="8" fillId="0" borderId="0" xfId="0" applyNumberFormat="1" applyFont="1" applyAlignment="1">
      <alignment horizontal="center" vertical="center"/>
    </xf>
    <xf numFmtId="0" fontId="9" fillId="0" borderId="0" xfId="0" applyFont="1"/>
    <xf numFmtId="0" fontId="11" fillId="0" borderId="0" xfId="0" applyFont="1"/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5" fillId="0" borderId="2" xfId="0" applyFont="1" applyBorder="1" applyAlignment="1" applyProtection="1">
      <alignment horizontal="center"/>
      <protection locked="0"/>
    </xf>
    <xf numFmtId="12" fontId="5" fillId="0" borderId="2" xfId="0" applyNumberFormat="1" applyFont="1" applyBorder="1" applyAlignment="1" applyProtection="1">
      <alignment horizontal="center"/>
      <protection locked="0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 vertical="center"/>
    </xf>
    <xf numFmtId="0" fontId="4" fillId="3" borderId="0" xfId="0" applyFont="1" applyFill="1"/>
    <xf numFmtId="0" fontId="0" fillId="3" borderId="0" xfId="0" applyFill="1"/>
    <xf numFmtId="49" fontId="8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12" fontId="4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left" vertical="center" wrapText="1"/>
    </xf>
    <xf numFmtId="12" fontId="0" fillId="0" borderId="0" xfId="0" applyNumberFormat="1" applyAlignment="1">
      <alignment horizontal="center"/>
    </xf>
    <xf numFmtId="0" fontId="5" fillId="0" borderId="4" xfId="0" applyFont="1" applyBorder="1" applyAlignment="1" applyProtection="1">
      <alignment horizontal="center"/>
      <protection locked="0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6" fontId="4" fillId="0" borderId="5" xfId="0" applyNumberFormat="1" applyFont="1" applyBorder="1" applyAlignment="1">
      <alignment horizontal="center" vertical="center"/>
    </xf>
    <xf numFmtId="0" fontId="5" fillId="0" borderId="6" xfId="0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 vertical="center"/>
      <protection locked="0"/>
    </xf>
    <xf numFmtId="49" fontId="5" fillId="0" borderId="2" xfId="0" applyNumberFormat="1" applyFont="1" applyBorder="1" applyAlignment="1" applyProtection="1">
      <alignment horizontal="center"/>
      <protection locked="0"/>
    </xf>
    <xf numFmtId="164" fontId="5" fillId="0" borderId="6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3" fillId="0" borderId="0" xfId="0" applyFont="1" applyAlignment="1">
      <alignment horizontal="center" vertical="center"/>
    </xf>
    <xf numFmtId="1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12" fontId="4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2" fontId="4" fillId="0" borderId="0" xfId="0" applyNumberFormat="1" applyFont="1" applyAlignment="1">
      <alignment horizontal="right"/>
    </xf>
    <xf numFmtId="12" fontId="0" fillId="0" borderId="0" xfId="0" applyNumberFormat="1" applyAlignment="1">
      <alignment horizontal="right"/>
    </xf>
    <xf numFmtId="0" fontId="12" fillId="0" borderId="0" xfId="0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/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4" fillId="2" borderId="7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736600</xdr:colOff>
      <xdr:row>0</xdr:row>
      <xdr:rowOff>0</xdr:rowOff>
    </xdr:from>
    <xdr:to>
      <xdr:col>21</xdr:col>
      <xdr:colOff>242408</xdr:colOff>
      <xdr:row>10</xdr:row>
      <xdr:rowOff>121103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93F5807-8502-1705-8B1B-592786F16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600" y="0"/>
          <a:ext cx="5718376" cy="1977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31747</xdr:rowOff>
    </xdr:from>
    <xdr:to>
      <xdr:col>22</xdr:col>
      <xdr:colOff>480785</xdr:colOff>
      <xdr:row>34</xdr:row>
      <xdr:rowOff>121216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F01675-9B84-97AA-F22D-6B0EDCD861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00" t="1293" r="2062" b="34627"/>
        <a:stretch>
          <a:fillRect/>
        </a:stretch>
      </xdr:blipFill>
      <xdr:spPr>
        <a:xfrm>
          <a:off x="0" y="3610426"/>
          <a:ext cx="7139214" cy="25070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797E-1212-442A-AA8A-9D3D7CCD9A1C}">
  <dimension ref="A12:X59"/>
  <sheetViews>
    <sheetView tabSelected="1" topLeftCell="A34" zoomScale="140" zoomScaleNormal="140" workbookViewId="0">
      <selection activeCell="Y27" sqref="Y27"/>
    </sheetView>
  </sheetViews>
  <sheetFormatPr defaultRowHeight="14.5"/>
  <cols>
    <col min="1" max="1" width="14" customWidth="1"/>
    <col min="2" max="2" width="1.6328125" customWidth="1"/>
    <col min="3" max="3" width="6.36328125" customWidth="1"/>
    <col min="4" max="4" width="3.7265625" customWidth="1"/>
    <col min="5" max="5" width="1.90625" customWidth="1"/>
    <col min="6" max="6" width="3.81640625" customWidth="1"/>
    <col min="7" max="7" width="1.6328125" customWidth="1"/>
    <col min="8" max="8" width="2.6328125" customWidth="1"/>
    <col min="9" max="9" width="3" customWidth="1"/>
    <col min="10" max="10" width="5.1796875" customWidth="1"/>
    <col min="11" max="11" width="4.08984375" customWidth="1"/>
    <col min="12" max="12" width="2.36328125" customWidth="1"/>
    <col min="13" max="13" width="4.7265625" customWidth="1"/>
    <col min="14" max="14" width="5.453125" customWidth="1"/>
    <col min="15" max="15" width="4.54296875" customWidth="1"/>
    <col min="16" max="16" width="3.6328125" customWidth="1"/>
    <col min="17" max="17" width="1.6328125" customWidth="1"/>
    <col min="18" max="18" width="7.7265625" customWidth="1"/>
    <col min="19" max="19" width="2" customWidth="1"/>
    <col min="20" max="20" width="1.1796875" customWidth="1"/>
    <col min="21" max="21" width="7.6328125" customWidth="1"/>
    <col min="22" max="22" width="6.453125" customWidth="1"/>
  </cols>
  <sheetData>
    <row r="12" spans="1:23" ht="22" customHeight="1">
      <c r="A12" s="53" t="s">
        <v>190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</row>
    <row r="13" spans="1:23">
      <c r="A13" t="s">
        <v>183</v>
      </c>
      <c r="B13" t="s">
        <v>21</v>
      </c>
      <c r="D13" s="65" t="str">
        <f>Source!B66</f>
        <v>AFBM-JO2600054</v>
      </c>
      <c r="E13" s="66"/>
      <c r="F13" s="66"/>
      <c r="G13" s="66"/>
      <c r="H13" s="66"/>
      <c r="I13" s="66"/>
      <c r="J13" s="66"/>
      <c r="K13" s="66"/>
      <c r="O13" t="s">
        <v>186</v>
      </c>
      <c r="Q13" t="s">
        <v>21</v>
      </c>
      <c r="S13" s="67">
        <f>Source!B65</f>
        <v>46168</v>
      </c>
      <c r="T13" s="67"/>
      <c r="U13" s="67"/>
      <c r="V13" s="67"/>
    </row>
    <row r="14" spans="1:23" ht="5" customHeight="1">
      <c r="C14" s="14" t="s">
        <v>188</v>
      </c>
      <c r="D14" s="5"/>
      <c r="R14" t="s">
        <v>222</v>
      </c>
    </row>
    <row r="15" spans="1:23">
      <c r="A15" t="s">
        <v>184</v>
      </c>
      <c r="B15" t="s">
        <v>21</v>
      </c>
      <c r="C15" s="83">
        <f>Source!B70&amp;" "&amp;Source!B71&amp;"   "&amp;Source!B77&amp;""" Ø   "&amp;Source!B67</f>
      </c>
      <c r="F15" s="4">
        <f>Source!B70</f>
        <v>2</v>
      </c>
      <c r="G15" s="4"/>
      <c r="H15" s="68" t="str">
        <f>Source!B71</f>
        <v>pcs.</v>
      </c>
      <c r="I15" s="68"/>
      <c r="J15" s="56">
        <f>Source!B77</f>
        <v>44.5</v>
      </c>
      <c r="K15" s="56"/>
      <c r="L15" s="4" t="s">
        <v>200</v>
      </c>
      <c r="M15" s="4"/>
      <c r="N15" s="4" t="str">
        <f>Source!B67</f>
        <v>DIDWCEB</v>
      </c>
      <c r="P15" s="36" t="s">
        <v>217</v>
      </c>
      <c r="Q15" s="84">
        <f>"   ("&amp;Source!B68&amp;")"</f>
      </c>
      <c r="R15" s="37" t="str">
        <f>Source!B68</f>
        <v xml:space="preserve">Standard </v>
      </c>
      <c r="S15" s="37"/>
      <c r="T15" s="37" t="s">
        <v>218</v>
      </c>
    </row>
    <row r="16" spans="1:23" ht="5" customHeight="1">
      <c r="C16" t="s">
        <v>223</v>
      </c>
    </row>
    <row r="17" spans="1:21">
      <c r="A17" t="s">
        <v>187</v>
      </c>
      <c r="C17" s="67">
        <f>Source!B69</f>
        <v>46179</v>
      </c>
      <c r="D17" s="67"/>
      <c r="E17" s="67"/>
      <c r="F17" s="67"/>
      <c r="G17" s="69"/>
      <c r="I17" t="s">
        <v>201</v>
      </c>
      <c r="R17" t="s">
        <v>202</v>
      </c>
    </row>
    <row r="18" spans="1:21" ht="5" customHeight="1">
      <c r="B18" t="s">
        <v>189</v>
      </c>
      <c r="L18" t="s">
        <v>189</v>
      </c>
      <c r="U18" t="s">
        <v>189</v>
      </c>
    </row>
    <row r="20" spans="1:21" ht="20">
      <c r="A20" s="21" t="s">
        <v>191</v>
      </c>
      <c r="F20" s="54" t="s">
        <v>192</v>
      </c>
      <c r="G20" s="54"/>
      <c r="H20" s="55">
        <f>Source!B72</f>
        <v>14</v>
      </c>
      <c r="I20" s="55"/>
      <c r="J20" t="s">
        <v>193</v>
      </c>
      <c r="L20" s="54" t="s">
        <v>192</v>
      </c>
      <c r="M20" s="54"/>
      <c r="N20" s="24">
        <f>Source!B73</f>
        <v>10</v>
      </c>
      <c r="O20" t="s">
        <v>193</v>
      </c>
    </row>
    <row r="21" spans="1:21" ht="5" customHeight="1">
      <c r="A21" s="21"/>
      <c r="F21" s="22"/>
      <c r="G21" s="22"/>
      <c r="H21" t="s">
        <v>194</v>
      </c>
      <c r="I21" s="23"/>
      <c r="L21" s="22"/>
      <c r="M21" s="22"/>
      <c r="N21" t="s">
        <v>194</v>
      </c>
      <c r="O21" s="23"/>
    </row>
    <row r="31" spans="1:21">
      <c r="M31" t="s">
        <v>29</v>
      </c>
    </row>
    <row r="36" spans="1:24" ht="18" customHeight="1">
      <c r="A36" s="1" t="s">
        <v>0</v>
      </c>
      <c r="B36" s="1" t="s">
        <v>21</v>
      </c>
      <c r="C36" s="57" t="str">
        <f>Source!B78</f>
        <v>Top Horizontal</v>
      </c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8" t="s">
        <v>20</v>
      </c>
      <c r="P36" s="58"/>
      <c r="Q36" s="4" t="s">
        <v>21</v>
      </c>
      <c r="R36" s="57" t="str">
        <f>Source!B80</f>
        <v>Backwardly Inclined</v>
      </c>
      <c r="S36" s="61"/>
      <c r="T36" s="61"/>
      <c r="U36" s="61"/>
      <c r="V36" s="61"/>
      <c r="W36" s="5"/>
      <c r="X36" s="4"/>
    </row>
    <row r="37" spans="1:24" ht="5" customHeight="1">
      <c r="A37" s="2"/>
      <c r="B37" s="2"/>
      <c r="C37" s="4" t="s">
        <v>23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 t="s">
        <v>221</v>
      </c>
      <c r="S37" s="4"/>
      <c r="T37" s="4"/>
      <c r="U37" s="4"/>
      <c r="V37" s="4"/>
      <c r="W37" s="4"/>
      <c r="X37" s="4"/>
    </row>
    <row r="38" spans="1:24" ht="18" customHeight="1">
      <c r="A38" s="2" t="s">
        <v>2</v>
      </c>
      <c r="B38" s="1" t="s">
        <v>21</v>
      </c>
      <c r="C38" s="57" t="str">
        <f>Source!B79</f>
        <v>Clockwise</v>
      </c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8" t="s">
        <v>22</v>
      </c>
      <c r="P38" s="58"/>
      <c r="Q38" s="4" t="s">
        <v>21</v>
      </c>
      <c r="R38" s="57" t="str">
        <f>Source!B81</f>
        <v>Belt</v>
      </c>
      <c r="S38" s="61"/>
      <c r="T38" s="61"/>
      <c r="U38" s="61"/>
      <c r="V38" s="61"/>
      <c r="W38" s="5"/>
      <c r="X38" s="4"/>
    </row>
    <row r="39" spans="1:24" ht="5" customHeight="1">
      <c r="A39" s="2"/>
      <c r="B39" s="2"/>
      <c r="C39" s="4" t="s">
        <v>23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 t="s">
        <v>221</v>
      </c>
      <c r="S39" s="4"/>
      <c r="T39" s="4"/>
      <c r="U39" s="4"/>
      <c r="V39" s="4"/>
      <c r="W39" s="4"/>
      <c r="X39" s="4"/>
    </row>
    <row r="40" spans="1:24" ht="18" customHeight="1">
      <c r="A40" s="2" t="s">
        <v>3</v>
      </c>
      <c r="B40" s="1" t="s">
        <v>21</v>
      </c>
      <c r="C40" s="83">
        <f>Source!B82</f>
      </c>
      <c r="D40" s="72"/>
      <c r="E40" s="72"/>
      <c r="F40" s="72"/>
      <c r="G40" s="72"/>
      <c r="H40" s="72"/>
      <c r="I40" s="72"/>
      <c r="J40" s="4"/>
      <c r="K40" s="73" t="str">
        <f>Source!B83</f>
        <v>29,087 cfm @ 0" w.g.</v>
      </c>
      <c r="L40" s="72"/>
      <c r="M40" s="84">
        <f>" "&amp;Source!B83</f>
      </c>
      <c r="N40" s="72"/>
      <c r="O40" s="72"/>
      <c r="P40" s="9"/>
      <c r="Q40" s="9"/>
      <c r="R40" s="9"/>
      <c r="S40" s="4"/>
      <c r="T40" s="4"/>
      <c r="U40" s="4"/>
      <c r="V40" s="4"/>
      <c r="W40" s="4"/>
      <c r="X40" s="4"/>
    </row>
    <row r="41" spans="1:24" ht="5" customHeight="1">
      <c r="A41" s="2"/>
      <c r="B41" s="2"/>
      <c r="C41" s="4" t="s">
        <v>220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8" customHeight="1">
      <c r="A42" s="2" t="s">
        <v>4</v>
      </c>
      <c r="B42" s="1" t="s">
        <v>21</v>
      </c>
      <c r="C42" s="83">
        <f>Source!B84&amp;" rpm"</f>
      </c>
      <c r="D42" s="58"/>
      <c r="E42" s="58"/>
      <c r="F42" s="4" t="s">
        <v>64</v>
      </c>
      <c r="G42" s="4"/>
      <c r="H42" s="4"/>
      <c r="I42" s="74">
        <f>ROUNDUP(Source!D76, 0)</f>
        <v>599</v>
      </c>
      <c r="J42" s="58"/>
      <c r="K42" s="9" t="s">
        <v>64</v>
      </c>
      <c r="L42" s="4"/>
      <c r="M42" s="84">
        <f>" "&amp;ROUNDUP(Source!D76,0)&amp;" rpm"</f>
      </c>
      <c r="N42" s="4"/>
      <c r="O42" s="4"/>
      <c r="P42" s="9"/>
      <c r="Q42" s="4"/>
      <c r="R42" s="4"/>
      <c r="S42" s="4"/>
      <c r="T42" s="4"/>
      <c r="U42" s="4"/>
      <c r="V42" s="4"/>
      <c r="W42" s="4"/>
      <c r="X42" s="4"/>
    </row>
    <row r="43" spans="1:24" ht="5" customHeight="1">
      <c r="A43" s="2"/>
      <c r="B43" s="2"/>
      <c r="C43" s="4" t="s">
        <v>220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8" customHeight="1">
      <c r="A44" s="2" t="s">
        <v>1</v>
      </c>
      <c r="B44" s="1" t="s">
        <v>21</v>
      </c>
      <c r="C44" s="83">
        <f>TRIM(TEXT(Source!D87,"# ?/?"))&amp;" HP,  "&amp;Source!D88&amp;" PH,  "&amp;Source!B90&amp;" V,  "&amp;Source!B91&amp;" Hz,  "&amp;Source!D90&amp;" pole,  "&amp;Source!D89&amp;" rpm,  "&amp;Source!B92&amp;",  "&amp;Source!B87&amp;",  "&amp;Source!B93</f>
      </c>
      <c r="D44" s="3" t="s">
        <v>74</v>
      </c>
      <c r="E44" s="3">
        <f>Source!D88</f>
        <v>3</v>
      </c>
      <c r="F44" s="3" t="s">
        <v>75</v>
      </c>
      <c r="G44" s="57">
        <f>Source!B90</f>
        <v>220</v>
      </c>
      <c r="H44" s="57"/>
      <c r="I44" s="3" t="s">
        <v>76</v>
      </c>
      <c r="J44" s="3">
        <f>Source!B91</f>
        <v>60</v>
      </c>
      <c r="K44" s="3" t="s">
        <v>77</v>
      </c>
      <c r="L44" s="3">
        <f>Source!D90</f>
        <v>4</v>
      </c>
      <c r="M44" s="3" t="s">
        <v>78</v>
      </c>
      <c r="N44" s="3">
        <f>Source!D89</f>
        <v>1728</v>
      </c>
      <c r="O44" s="3" t="s">
        <v>79</v>
      </c>
      <c r="P44" s="57" t="str">
        <f>Source!B92</f>
        <v>Foot Mounted</v>
      </c>
      <c r="Q44" s="57"/>
      <c r="R44" s="57"/>
      <c r="S44" s="57"/>
      <c r="T44" s="4" t="s">
        <v>83</v>
      </c>
      <c r="U44" s="3" t="str">
        <f>Source!B87</f>
        <v>Hyundai</v>
      </c>
      <c r="V44" s="3" t="str">
        <f>Source!B93</f>
        <v>TEFC</v>
      </c>
    </row>
    <row r="45" spans="1:24" ht="5" customHeight="1">
      <c r="A45" s="2"/>
      <c r="B45" s="2"/>
      <c r="C45" s="4" t="s">
        <v>220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8" customHeight="1">
      <c r="A46" s="2" t="s">
        <v>5</v>
      </c>
      <c r="B46" s="1" t="s">
        <v>21</v>
      </c>
      <c r="C46" s="83">
        <f>TRIM(TEXT(Source!B96,"# ?/?"))&amp;""" Ø x "&amp;Source!D93&amp;" x "&amp;Source!D91&amp;" mm Ø bore x "&amp;Source!D92&amp;" mm keyway"</f>
      </c>
      <c r="D46" s="63"/>
      <c r="E46" s="57" t="s">
        <v>86</v>
      </c>
      <c r="F46" s="57"/>
      <c r="G46" s="57" t="str">
        <f>Source!D93</f>
        <v>3B</v>
      </c>
      <c r="H46" s="61"/>
      <c r="I46" s="3" t="s">
        <v>84</v>
      </c>
      <c r="J46" s="3">
        <f>Source!D91</f>
        <v>42</v>
      </c>
      <c r="K46" s="57" t="s">
        <v>87</v>
      </c>
      <c r="L46" s="57"/>
      <c r="M46" s="57"/>
      <c r="N46" s="3" t="s">
        <v>84</v>
      </c>
      <c r="O46" s="3">
        <f>Source!D92</f>
        <v>12</v>
      </c>
      <c r="P46" s="57" t="s">
        <v>85</v>
      </c>
      <c r="Q46" s="84">
        <f>" "&amp;Source!D94&amp;" mm Ø Hub"</f>
      </c>
      <c r="R46" s="57"/>
      <c r="S46" s="4"/>
      <c r="T46" s="4"/>
      <c r="U46" s="16">
        <f>Source!D94</f>
        <v>78</v>
      </c>
      <c r="V46" s="15" t="s">
        <v>203</v>
      </c>
      <c r="X46" s="4"/>
    </row>
    <row r="47" spans="1:24" ht="5" customHeight="1">
      <c r="A47" s="2"/>
      <c r="B47" s="2"/>
      <c r="C47" s="4" t="s">
        <v>220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8" customHeight="1">
      <c r="A48" s="2" t="s">
        <v>6</v>
      </c>
      <c r="B48" s="1" t="s">
        <v>21</v>
      </c>
      <c r="C48" s="83">
        <f>TRIM(TEXT(Source!B97,"# ?/?"))&amp;""" Ø x "&amp;Source!D93&amp;" x "&amp;Source!D80</f>
      </c>
      <c r="D48" s="62"/>
      <c r="E48" s="57" t="s">
        <v>86</v>
      </c>
      <c r="F48" s="57"/>
      <c r="G48" s="57" t="str">
        <f>Source!D93</f>
        <v>3B</v>
      </c>
      <c r="H48" s="61"/>
      <c r="I48" s="3" t="s">
        <v>84</v>
      </c>
      <c r="J48" s="59" t="str">
        <f>Source!D80</f>
        <v>2 1/2”Ø x 1/2" keyway</v>
      </c>
      <c r="K48" s="60"/>
      <c r="L48" s="60"/>
      <c r="M48" s="60"/>
      <c r="N48" s="60"/>
      <c r="O48" s="60"/>
      <c r="P48" s="60"/>
      <c r="Q48" s="84">
        <f>" "&amp;Source!D95&amp;" mm Ø Hub"</f>
      </c>
      <c r="R48" s="60"/>
      <c r="S48" s="4"/>
      <c r="T48" s="4"/>
      <c r="U48" s="20">
        <f>Source!D95</f>
        <v>100</v>
      </c>
      <c r="V48" s="15" t="s">
        <v>203</v>
      </c>
      <c r="W48" s="14"/>
      <c r="X48" s="4"/>
    </row>
    <row r="49" spans="1:24" ht="5" customHeight="1">
      <c r="A49" s="2"/>
      <c r="B49" s="2"/>
      <c r="C49" s="4" t="s">
        <v>220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8" customHeight="1">
      <c r="A50" s="2" t="s">
        <v>7</v>
      </c>
      <c r="B50" s="1" t="s">
        <v>21</v>
      </c>
      <c r="C50" s="57" t="str">
        <f>Source!D79</f>
        <v>4 1/2”Ø x 4 1/2”L x 2 1/2"Ø bore x 1/2” keyway</v>
      </c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3"/>
      <c r="R50" s="3"/>
      <c r="S50" s="3"/>
      <c r="T50" s="3"/>
      <c r="U50" s="3"/>
      <c r="V50" s="3"/>
      <c r="W50" s="3"/>
      <c r="X50" s="4"/>
    </row>
    <row r="51" spans="1:24" ht="5" customHeight="1">
      <c r="A51" s="2"/>
      <c r="B51" s="2"/>
      <c r="C51" s="4" t="s">
        <v>220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8" customHeight="1">
      <c r="A52" s="2" t="s">
        <v>8</v>
      </c>
      <c r="B52" s="1" t="s">
        <v>21</v>
      </c>
      <c r="D52" s="71" t="str">
        <f>Source!D80</f>
        <v>2 1/2”Ø x 1/2" keyway</v>
      </c>
      <c r="E52" s="60"/>
      <c r="F52" s="60"/>
      <c r="G52" s="60"/>
      <c r="H52" s="60"/>
      <c r="I52" s="60"/>
      <c r="J52" s="60"/>
      <c r="K52" s="60"/>
      <c r="L52" s="60"/>
      <c r="M52" s="60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5" customHeight="1">
      <c r="A53" s="2"/>
      <c r="B53" s="2"/>
      <c r="C53" s="4" t="s">
        <v>220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8" customHeight="1">
      <c r="A54" s="2" t="s">
        <v>9</v>
      </c>
      <c r="B54" s="1" t="s">
        <v>21</v>
      </c>
      <c r="C54" s="58"/>
      <c r="D54" s="70"/>
      <c r="E54" s="70"/>
      <c r="F54" s="70"/>
      <c r="G54" s="70"/>
      <c r="H54" s="70"/>
      <c r="I54" s="70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5" customHeight="1">
      <c r="A55" s="2"/>
      <c r="B55" s="2"/>
      <c r="C55" s="4" t="s">
        <v>220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8" customHeight="1">
      <c r="A56" s="2" t="s">
        <v>10</v>
      </c>
      <c r="B56" s="1" t="s">
        <v>21</v>
      </c>
      <c r="C56" s="83">
        <f>Source!D78&amp;"  --"</f>
      </c>
      <c r="D56" s="57"/>
      <c r="E56" s="57"/>
      <c r="F56" s="57"/>
      <c r="G56" s="4"/>
      <c r="H56" s="4"/>
      <c r="I56" s="4"/>
      <c r="J56" s="10" t="s">
        <v>68</v>
      </c>
      <c r="K56" s="9">
        <f>SUM(Source!B70)*2</f>
        <v>4</v>
      </c>
      <c r="L56" s="9" t="s">
        <v>67</v>
      </c>
      <c r="M56" s="84">
        <f>" "&amp;SUM(Source!B70)*2&amp;" pcs"</f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5" customHeight="1">
      <c r="A57" s="2"/>
      <c r="B57" s="2"/>
      <c r="C57" s="4" t="s">
        <v>220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>
      <c r="S58" s="64" t="s">
        <v>37</v>
      </c>
      <c r="T58" s="64"/>
      <c r="U58" s="64"/>
      <c r="V58" s="64"/>
      <c r="W58" s="64"/>
    </row>
    <row r="59" spans="1:24">
      <c r="W59" s="23"/>
    </row>
  </sheetData>
  <sheetProtection selectLockedCells="1" selectUnlockedCells="1"/>
  <mergeCells count="30">
    <mergeCell ref="S58:W58"/>
    <mergeCell ref="D13:K13"/>
    <mergeCell ref="S13:V13"/>
    <mergeCell ref="C17:G17"/>
    <mergeCell ref="C54:I54"/>
    <mergeCell ref="D52:M52"/>
    <mergeCell ref="C50:P50"/>
    <mergeCell ref="O38:P38"/>
    <mergeCell ref="O36:P36"/>
    <mergeCell ref="C36:N36"/>
    <mergeCell ref="C38:N38"/>
    <mergeCell ref="R36:V36"/>
    <mergeCell ref="R38:V38"/>
    <mergeCell ref="A12:W12"/>
    <mergeCell ref="F20:G20"/>
    <mergeCell ref="H20:I20"/>
    <mergeCell ref="L20:M20"/>
    <mergeCell ref="C15:P15"/>
    <mergeCell ref="Q15:V15"/>
    <mergeCell ref="C40:L40"/>
    <mergeCell ref="M40:V40"/>
    <mergeCell ref="C42:L42"/>
    <mergeCell ref="M42:V42"/>
    <mergeCell ref="C44:V44"/>
    <mergeCell ref="C46:P46"/>
    <mergeCell ref="Q46:V46"/>
    <mergeCell ref="C48:P48"/>
    <mergeCell ref="Q48:V48"/>
    <mergeCell ref="C56:L56"/>
    <mergeCell ref="M56:V56"/>
  </mergeCells>
  <printOptions horizontalCentered="1"/>
  <pageMargins left="0" right="0" top="0" bottom="0.19685039370078741" header="0.31496062992125984" footer="0.31496062992125984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B475-4258-48FA-81A5-06493DE80B9A}">
  <dimension ref="A2:X98"/>
  <sheetViews>
    <sheetView zoomScale="120" zoomScaleNormal="120" workbookViewId="0">
      <selection activeCell="A2" sqref="A2:XFD62"/>
    </sheetView>
  </sheetViews>
  <sheetFormatPr defaultRowHeight="14.5"/>
  <cols>
    <col min="1" max="1" width="27.81640625" style="3" customWidth="1"/>
    <col min="2" max="2" width="42.81640625" style="3" customWidth="1"/>
    <col min="3" max="3" width="42.26953125" style="4" customWidth="1"/>
    <col min="4" max="4" width="42.81640625" style="4" customWidth="1"/>
    <col min="5" max="5" width="14.54296875" style="4" customWidth="1"/>
    <col min="6" max="6" width="10.90625" customWidth="1"/>
    <col min="8" max="10" width="16.08984375" customWidth="1"/>
    <col min="11" max="11" width="19.90625" customWidth="1"/>
    <col min="12" max="12" width="21.36328125" customWidth="1"/>
    <col min="13" max="13" width="21.7265625" customWidth="1"/>
    <col min="15" max="15" width="35.7265625" customWidth="1"/>
    <col min="16" max="16" width="25.36328125" customWidth="1"/>
    <col min="18" max="18" width="13" customWidth="1"/>
    <col min="20" max="20" width="12" style="5" customWidth="1"/>
    <col min="21" max="21" width="11" style="5" customWidth="1"/>
    <col min="23" max="23" width="8.7265625" style="5"/>
  </cols>
  <sheetData>
    <row r="2" spans="1:23" hidden="1">
      <c r="A2" s="75" t="s">
        <v>58</v>
      </c>
      <c r="B2" s="76"/>
      <c r="C2" s="76"/>
      <c r="D2" s="76"/>
      <c r="E2" s="76"/>
      <c r="H2" s="5" t="s">
        <v>104</v>
      </c>
      <c r="I2" s="5" t="s">
        <v>72</v>
      </c>
      <c r="J2" s="5" t="s">
        <v>73</v>
      </c>
      <c r="K2" s="5" t="s">
        <v>162</v>
      </c>
      <c r="L2" s="5" t="s">
        <v>161</v>
      </c>
      <c r="M2" s="5" t="s">
        <v>163</v>
      </c>
      <c r="O2" s="3" t="s">
        <v>108</v>
      </c>
      <c r="P2" s="3" t="s">
        <v>106</v>
      </c>
      <c r="Q2" s="3" t="s">
        <v>55</v>
      </c>
      <c r="R2" s="3" t="s">
        <v>56</v>
      </c>
      <c r="S2" s="3" t="s">
        <v>57</v>
      </c>
      <c r="T2" s="3" t="s">
        <v>164</v>
      </c>
      <c r="U2" s="3" t="s">
        <v>165</v>
      </c>
      <c r="V2" s="3" t="s">
        <v>97</v>
      </c>
      <c r="W2" s="3" t="s">
        <v>171</v>
      </c>
    </row>
    <row r="3" spans="1:23" hidden="1">
      <c r="A3" s="3" t="s">
        <v>38</v>
      </c>
      <c r="B3" s="3" t="s">
        <v>41</v>
      </c>
      <c r="C3" s="3" t="s">
        <v>42</v>
      </c>
      <c r="D3" s="3" t="s">
        <v>8</v>
      </c>
      <c r="E3" s="3" t="s">
        <v>10</v>
      </c>
      <c r="F3" s="3" t="s">
        <v>181</v>
      </c>
      <c r="H3" s="3" t="s">
        <v>72</v>
      </c>
      <c r="I3" s="5" t="s">
        <v>162</v>
      </c>
      <c r="J3" s="5" t="s">
        <v>163</v>
      </c>
      <c r="K3" s="17" t="s">
        <v>110</v>
      </c>
      <c r="L3" s="17" t="s">
        <v>118</v>
      </c>
      <c r="M3" s="17" t="s">
        <v>141</v>
      </c>
      <c r="P3" s="17" t="s">
        <v>110</v>
      </c>
      <c r="Q3" s="3">
        <v>1715</v>
      </c>
      <c r="R3" s="3">
        <v>14</v>
      </c>
      <c r="S3" s="3">
        <v>5</v>
      </c>
      <c r="T3" s="19">
        <v>0.25</v>
      </c>
      <c r="U3" s="3">
        <v>1</v>
      </c>
      <c r="V3" s="3">
        <v>4</v>
      </c>
      <c r="W3" s="5" t="s">
        <v>172</v>
      </c>
    </row>
    <row r="4" spans="1:23" hidden="1">
      <c r="A4" s="3">
        <v>9</v>
      </c>
      <c r="B4" s="7" t="s">
        <v>88</v>
      </c>
      <c r="C4" s="8" t="s">
        <v>95</v>
      </c>
      <c r="D4" s="4" t="s">
        <v>46</v>
      </c>
      <c r="E4" s="3" t="s">
        <v>13</v>
      </c>
      <c r="F4" s="44">
        <v>1.25</v>
      </c>
      <c r="H4" s="3" t="s">
        <v>73</v>
      </c>
      <c r="I4" s="5" t="s">
        <v>161</v>
      </c>
      <c r="J4" s="3"/>
      <c r="K4" s="18" t="s">
        <v>111</v>
      </c>
      <c r="L4" s="18" t="s">
        <v>119</v>
      </c>
      <c r="M4" s="18" t="s">
        <v>142</v>
      </c>
      <c r="P4" s="18" t="s">
        <v>111</v>
      </c>
      <c r="Q4" s="3">
        <v>1750</v>
      </c>
      <c r="R4" s="3">
        <v>19</v>
      </c>
      <c r="S4" s="3">
        <v>6</v>
      </c>
      <c r="T4" s="19">
        <v>0.5</v>
      </c>
      <c r="U4" s="3">
        <v>1</v>
      </c>
      <c r="V4" s="3">
        <v>4</v>
      </c>
      <c r="W4" s="5" t="s">
        <v>172</v>
      </c>
    </row>
    <row r="5" spans="1:23" hidden="1">
      <c r="A5" s="3">
        <v>10.5</v>
      </c>
      <c r="B5" s="7" t="s">
        <v>88</v>
      </c>
      <c r="C5" s="8" t="s">
        <v>95</v>
      </c>
      <c r="D5" s="4" t="s">
        <v>46</v>
      </c>
      <c r="E5" s="3" t="s">
        <v>13</v>
      </c>
      <c r="F5" s="44">
        <v>1.25</v>
      </c>
      <c r="H5" s="3"/>
      <c r="I5" s="3"/>
      <c r="J5" s="3"/>
      <c r="K5" s="18" t="s">
        <v>112</v>
      </c>
      <c r="L5" s="18" t="s">
        <v>120</v>
      </c>
      <c r="M5" s="18" t="s">
        <v>143</v>
      </c>
      <c r="P5" s="18" t="s">
        <v>112</v>
      </c>
      <c r="Q5" s="3">
        <v>1750</v>
      </c>
      <c r="R5" s="3">
        <v>19</v>
      </c>
      <c r="S5" s="3">
        <v>6</v>
      </c>
      <c r="T5" s="19">
        <v>0.75</v>
      </c>
      <c r="U5" s="3">
        <v>1</v>
      </c>
      <c r="V5" s="3">
        <v>4</v>
      </c>
      <c r="W5" s="5" t="s">
        <v>172</v>
      </c>
    </row>
    <row r="6" spans="1:23" hidden="1">
      <c r="A6" s="3">
        <v>12.25</v>
      </c>
      <c r="B6" s="7" t="s">
        <v>89</v>
      </c>
      <c r="C6" s="4" t="s">
        <v>52</v>
      </c>
      <c r="D6" s="4" t="s">
        <v>47</v>
      </c>
      <c r="E6" s="3" t="s">
        <v>14</v>
      </c>
      <c r="F6" s="44">
        <v>1.5</v>
      </c>
      <c r="H6" s="3"/>
      <c r="I6" s="3"/>
      <c r="J6" s="3"/>
      <c r="K6" s="18" t="s">
        <v>113</v>
      </c>
      <c r="L6" s="18" t="s">
        <v>121</v>
      </c>
      <c r="M6" s="18" t="s">
        <v>144</v>
      </c>
      <c r="P6" s="18" t="s">
        <v>113</v>
      </c>
      <c r="Q6" s="3">
        <v>1750</v>
      </c>
      <c r="R6" s="3">
        <v>24</v>
      </c>
      <c r="S6" s="3">
        <v>8</v>
      </c>
      <c r="T6" s="40">
        <v>1</v>
      </c>
      <c r="U6" s="3">
        <v>1</v>
      </c>
      <c r="V6" s="3">
        <v>4</v>
      </c>
      <c r="W6" s="5" t="s">
        <v>224</v>
      </c>
    </row>
    <row r="7" spans="1:23" hidden="1">
      <c r="A7" s="3">
        <v>13.5</v>
      </c>
      <c r="B7" s="7" t="s">
        <v>89</v>
      </c>
      <c r="C7" s="4" t="s">
        <v>52</v>
      </c>
      <c r="D7" s="4" t="s">
        <v>47</v>
      </c>
      <c r="E7" s="3" t="s">
        <v>14</v>
      </c>
      <c r="F7" s="44">
        <v>1.5</v>
      </c>
      <c r="H7" s="3"/>
      <c r="I7" s="3"/>
      <c r="J7" s="3"/>
      <c r="K7" s="18" t="s">
        <v>114</v>
      </c>
      <c r="L7" s="18" t="s">
        <v>122</v>
      </c>
      <c r="M7" s="18" t="s">
        <v>145</v>
      </c>
      <c r="P7" s="18" t="s">
        <v>114</v>
      </c>
      <c r="Q7" s="3">
        <v>1750</v>
      </c>
      <c r="R7" s="3">
        <v>24</v>
      </c>
      <c r="S7" s="3">
        <v>8</v>
      </c>
      <c r="T7" s="19">
        <v>1.5</v>
      </c>
      <c r="U7" s="3">
        <v>1</v>
      </c>
      <c r="V7" s="3">
        <v>4</v>
      </c>
      <c r="W7" s="5" t="s">
        <v>173</v>
      </c>
    </row>
    <row r="8" spans="1:23" hidden="1">
      <c r="A8" s="3">
        <v>15</v>
      </c>
      <c r="B8" s="7" t="s">
        <v>89</v>
      </c>
      <c r="C8" s="4" t="s">
        <v>52</v>
      </c>
      <c r="D8" s="4" t="s">
        <v>47</v>
      </c>
      <c r="E8" s="3" t="s">
        <v>14</v>
      </c>
      <c r="F8" s="44">
        <v>1.5</v>
      </c>
      <c r="H8" s="3"/>
      <c r="I8" s="3"/>
      <c r="J8" s="3"/>
      <c r="K8" s="18" t="s">
        <v>115</v>
      </c>
      <c r="L8" s="18" t="s">
        <v>123</v>
      </c>
      <c r="M8" s="18" t="s">
        <v>146</v>
      </c>
      <c r="P8" s="18" t="s">
        <v>115</v>
      </c>
      <c r="Q8" s="3">
        <v>1750</v>
      </c>
      <c r="R8" s="3">
        <v>28</v>
      </c>
      <c r="S8" s="3">
        <v>8</v>
      </c>
      <c r="T8" s="19">
        <v>2</v>
      </c>
      <c r="U8" s="3">
        <v>1</v>
      </c>
      <c r="V8" s="3">
        <v>4</v>
      </c>
      <c r="W8" s="5" t="s">
        <v>173</v>
      </c>
    </row>
    <row r="9" spans="1:23" hidden="1">
      <c r="A9" s="3">
        <v>16.5</v>
      </c>
      <c r="B9" s="7" t="s">
        <v>89</v>
      </c>
      <c r="C9" s="4" t="s">
        <v>52</v>
      </c>
      <c r="D9" s="4" t="s">
        <v>47</v>
      </c>
      <c r="E9" s="3" t="s">
        <v>14</v>
      </c>
      <c r="F9" s="44">
        <v>1.5</v>
      </c>
      <c r="H9" s="3"/>
      <c r="I9" s="3"/>
      <c r="J9" s="3"/>
      <c r="K9" s="18" t="s">
        <v>116</v>
      </c>
      <c r="L9" s="18" t="s">
        <v>124</v>
      </c>
      <c r="M9" s="18" t="s">
        <v>147</v>
      </c>
      <c r="P9" s="18" t="s">
        <v>116</v>
      </c>
      <c r="Q9" s="3">
        <v>1750</v>
      </c>
      <c r="R9" s="3">
        <v>28</v>
      </c>
      <c r="S9" s="3">
        <v>8</v>
      </c>
      <c r="T9" s="19">
        <v>3</v>
      </c>
      <c r="U9" s="3">
        <v>1</v>
      </c>
      <c r="V9" s="3">
        <v>4</v>
      </c>
      <c r="W9" s="5" t="s">
        <v>173</v>
      </c>
    </row>
    <row r="10" spans="1:23" hidden="1">
      <c r="A10" s="3">
        <v>18.25</v>
      </c>
      <c r="B10" s="7" t="s">
        <v>89</v>
      </c>
      <c r="C10" s="4" t="s">
        <v>52</v>
      </c>
      <c r="D10" s="4" t="s">
        <v>47</v>
      </c>
      <c r="E10" s="3" t="s">
        <v>14</v>
      </c>
      <c r="F10" s="44">
        <v>1.5</v>
      </c>
      <c r="H10" s="3"/>
      <c r="I10" s="3"/>
      <c r="J10" s="3"/>
      <c r="K10" s="18" t="s">
        <v>117</v>
      </c>
      <c r="L10" s="18" t="s">
        <v>125</v>
      </c>
      <c r="M10" s="18" t="s">
        <v>148</v>
      </c>
      <c r="P10" s="18" t="s">
        <v>117</v>
      </c>
      <c r="Q10" s="3">
        <v>1750</v>
      </c>
      <c r="R10" s="3">
        <v>28</v>
      </c>
      <c r="S10" s="3">
        <v>8</v>
      </c>
      <c r="T10" s="19">
        <v>5</v>
      </c>
      <c r="U10" s="3">
        <v>1</v>
      </c>
      <c r="V10" s="3">
        <v>4</v>
      </c>
      <c r="W10" s="5" t="s">
        <v>173</v>
      </c>
    </row>
    <row r="11" spans="1:23" hidden="1">
      <c r="A11" s="3">
        <v>20</v>
      </c>
      <c r="B11" s="7" t="s">
        <v>89</v>
      </c>
      <c r="C11" s="4" t="s">
        <v>52</v>
      </c>
      <c r="D11" s="4" t="s">
        <v>47</v>
      </c>
      <c r="E11" s="3" t="s">
        <v>14</v>
      </c>
      <c r="F11" s="44">
        <v>1.5</v>
      </c>
      <c r="H11" s="3"/>
      <c r="I11" s="3"/>
      <c r="J11" s="3"/>
      <c r="K11" s="3"/>
      <c r="L11" s="18" t="s">
        <v>126</v>
      </c>
      <c r="M11" s="18" t="s">
        <v>149</v>
      </c>
      <c r="O11" s="3" t="s">
        <v>107</v>
      </c>
      <c r="P11" s="17" t="s">
        <v>118</v>
      </c>
      <c r="Q11" s="3">
        <v>1680</v>
      </c>
      <c r="R11" s="3">
        <v>14</v>
      </c>
      <c r="S11" s="3">
        <v>5</v>
      </c>
      <c r="T11" s="19">
        <v>0.5</v>
      </c>
      <c r="U11" s="3">
        <v>3</v>
      </c>
      <c r="V11" s="3">
        <v>4</v>
      </c>
      <c r="W11" s="5" t="s">
        <v>172</v>
      </c>
    </row>
    <row r="12" spans="1:23" hidden="1">
      <c r="A12" s="3">
        <v>22.25</v>
      </c>
      <c r="B12" s="7" t="s">
        <v>89</v>
      </c>
      <c r="C12" s="4" t="s">
        <v>52</v>
      </c>
      <c r="D12" s="4" t="s">
        <v>47</v>
      </c>
      <c r="E12" s="3" t="s">
        <v>14</v>
      </c>
      <c r="F12" s="44">
        <v>1.5</v>
      </c>
      <c r="H12" s="3"/>
      <c r="I12" s="3"/>
      <c r="J12" s="3"/>
      <c r="K12" s="3"/>
      <c r="L12" s="18" t="s">
        <v>127</v>
      </c>
      <c r="M12" s="18" t="s">
        <v>150</v>
      </c>
      <c r="P12" s="18" t="s">
        <v>119</v>
      </c>
      <c r="Q12" s="3">
        <v>1710</v>
      </c>
      <c r="R12" s="3">
        <v>19</v>
      </c>
      <c r="S12" s="3">
        <v>6</v>
      </c>
      <c r="T12" s="19">
        <v>1</v>
      </c>
      <c r="U12" s="3">
        <v>3</v>
      </c>
      <c r="V12" s="3">
        <v>4</v>
      </c>
      <c r="W12" s="5" t="s">
        <v>224</v>
      </c>
    </row>
    <row r="13" spans="1:23" hidden="1">
      <c r="A13" s="3">
        <v>24.5</v>
      </c>
      <c r="B13" s="7" t="s">
        <v>90</v>
      </c>
      <c r="C13" s="4" t="s">
        <v>204</v>
      </c>
      <c r="D13" s="4" t="s">
        <v>48</v>
      </c>
      <c r="E13" s="3" t="s">
        <v>15</v>
      </c>
      <c r="F13" s="44">
        <v>1.75</v>
      </c>
      <c r="H13" s="3"/>
      <c r="I13" s="3"/>
      <c r="J13" s="3"/>
      <c r="K13" s="3"/>
      <c r="L13" s="18" t="s">
        <v>128</v>
      </c>
      <c r="M13" s="18" t="s">
        <v>151</v>
      </c>
      <c r="P13" s="18" t="s">
        <v>120</v>
      </c>
      <c r="Q13" s="3">
        <v>1720</v>
      </c>
      <c r="R13" s="3">
        <v>24</v>
      </c>
      <c r="S13" s="3">
        <v>8</v>
      </c>
      <c r="T13" s="19">
        <v>1.5</v>
      </c>
      <c r="U13" s="3">
        <v>3</v>
      </c>
      <c r="V13" s="3">
        <v>4</v>
      </c>
      <c r="W13" s="5" t="s">
        <v>173</v>
      </c>
    </row>
    <row r="14" spans="1:23" hidden="1">
      <c r="A14" s="3">
        <v>27</v>
      </c>
      <c r="B14" s="7" t="s">
        <v>90</v>
      </c>
      <c r="C14" s="4" t="s">
        <v>204</v>
      </c>
      <c r="D14" s="4" t="s">
        <v>48</v>
      </c>
      <c r="E14" s="3" t="s">
        <v>15</v>
      </c>
      <c r="F14" s="44">
        <v>1.75</v>
      </c>
      <c r="H14" s="3"/>
      <c r="I14" s="3"/>
      <c r="J14" s="3"/>
      <c r="K14" s="3"/>
      <c r="L14" s="18" t="s">
        <v>129</v>
      </c>
      <c r="M14" s="18" t="s">
        <v>152</v>
      </c>
      <c r="P14" s="18" t="s">
        <v>121</v>
      </c>
      <c r="Q14" s="3">
        <v>1715</v>
      </c>
      <c r="R14" s="3">
        <v>24</v>
      </c>
      <c r="S14" s="3">
        <v>8</v>
      </c>
      <c r="T14" s="19">
        <v>2</v>
      </c>
      <c r="U14" s="3">
        <v>3</v>
      </c>
      <c r="V14" s="3">
        <v>4</v>
      </c>
      <c r="W14" s="5" t="s">
        <v>173</v>
      </c>
    </row>
    <row r="15" spans="1:23" hidden="1">
      <c r="A15" s="3">
        <v>30</v>
      </c>
      <c r="B15" s="7" t="s">
        <v>91</v>
      </c>
      <c r="C15" s="4" t="s">
        <v>43</v>
      </c>
      <c r="D15" s="4" t="s">
        <v>49</v>
      </c>
      <c r="E15" s="3" t="s">
        <v>16</v>
      </c>
      <c r="F15" s="44">
        <v>2</v>
      </c>
      <c r="H15" s="3"/>
      <c r="I15" s="3"/>
      <c r="J15" s="3"/>
      <c r="K15" s="3"/>
      <c r="L15" s="18" t="s">
        <v>130</v>
      </c>
      <c r="M15" s="18" t="s">
        <v>153</v>
      </c>
      <c r="P15" s="18" t="s">
        <v>122</v>
      </c>
      <c r="Q15" s="3">
        <v>1735</v>
      </c>
      <c r="R15" s="3">
        <v>28</v>
      </c>
      <c r="S15" s="3">
        <v>8</v>
      </c>
      <c r="T15" s="19">
        <v>3</v>
      </c>
      <c r="U15" s="3">
        <v>3</v>
      </c>
      <c r="V15" s="3">
        <v>4</v>
      </c>
      <c r="W15" s="5" t="s">
        <v>173</v>
      </c>
    </row>
    <row r="16" spans="1:23" hidden="1">
      <c r="A16" s="3">
        <v>33</v>
      </c>
      <c r="B16" s="7" t="s">
        <v>92</v>
      </c>
      <c r="C16" s="4" t="s">
        <v>101</v>
      </c>
      <c r="D16" s="43" t="s">
        <v>92</v>
      </c>
      <c r="E16" s="3" t="s">
        <v>17</v>
      </c>
      <c r="F16" s="44">
        <v>2.25</v>
      </c>
      <c r="H16" s="3"/>
      <c r="I16" s="3"/>
      <c r="J16" s="3"/>
      <c r="K16" s="3"/>
      <c r="L16" s="18" t="s">
        <v>131</v>
      </c>
      <c r="M16" s="18" t="s">
        <v>154</v>
      </c>
      <c r="P16" s="18" t="s">
        <v>123</v>
      </c>
      <c r="Q16" s="3">
        <v>1745</v>
      </c>
      <c r="R16" s="3">
        <v>28</v>
      </c>
      <c r="S16" s="3">
        <v>8</v>
      </c>
      <c r="T16" s="19">
        <v>5</v>
      </c>
      <c r="U16" s="3">
        <v>3</v>
      </c>
      <c r="V16" s="3">
        <v>4</v>
      </c>
      <c r="W16" s="5" t="s">
        <v>173</v>
      </c>
    </row>
    <row r="17" spans="1:23" hidden="1">
      <c r="A17" s="3">
        <v>36.5</v>
      </c>
      <c r="B17" s="7" t="s">
        <v>92</v>
      </c>
      <c r="C17" s="4" t="s">
        <v>101</v>
      </c>
      <c r="D17" s="43" t="s">
        <v>92</v>
      </c>
      <c r="E17" s="3" t="s">
        <v>17</v>
      </c>
      <c r="F17" s="44">
        <v>2.25</v>
      </c>
      <c r="H17" s="3"/>
      <c r="I17" s="3"/>
      <c r="J17" s="3"/>
      <c r="K17" s="3"/>
      <c r="L17" s="18" t="s">
        <v>132</v>
      </c>
      <c r="M17" s="18" t="s">
        <v>155</v>
      </c>
      <c r="P17" s="18" t="s">
        <v>124</v>
      </c>
      <c r="Q17" s="3">
        <v>1750</v>
      </c>
      <c r="R17" s="3">
        <v>38</v>
      </c>
      <c r="S17" s="3">
        <v>10</v>
      </c>
      <c r="T17" s="19">
        <v>7.5</v>
      </c>
      <c r="U17" s="3">
        <v>3</v>
      </c>
      <c r="V17" s="3">
        <v>4</v>
      </c>
      <c r="W17" s="5" t="s">
        <v>173</v>
      </c>
    </row>
    <row r="18" spans="1:23" hidden="1">
      <c r="A18" s="3">
        <v>40.25</v>
      </c>
      <c r="B18" s="7" t="s">
        <v>93</v>
      </c>
      <c r="C18" s="4" t="s">
        <v>44</v>
      </c>
      <c r="D18" s="4" t="s">
        <v>50</v>
      </c>
      <c r="E18" s="3" t="s">
        <v>18</v>
      </c>
      <c r="F18" s="44">
        <v>2.5</v>
      </c>
      <c r="H18" s="3"/>
      <c r="I18" s="3"/>
      <c r="J18" s="3"/>
      <c r="K18" s="3"/>
      <c r="L18" s="18" t="s">
        <v>133</v>
      </c>
      <c r="M18" s="18" t="s">
        <v>156</v>
      </c>
      <c r="P18" s="18" t="s">
        <v>125</v>
      </c>
      <c r="Q18" s="3">
        <v>1750</v>
      </c>
      <c r="R18" s="3">
        <v>38</v>
      </c>
      <c r="S18" s="3">
        <v>10</v>
      </c>
      <c r="T18" s="19">
        <v>10</v>
      </c>
      <c r="U18" s="3">
        <v>3</v>
      </c>
      <c r="V18" s="3">
        <v>4</v>
      </c>
      <c r="W18" s="5" t="s">
        <v>174</v>
      </c>
    </row>
    <row r="19" spans="1:23" hidden="1">
      <c r="A19" s="3">
        <v>44.5</v>
      </c>
      <c r="B19" s="7" t="s">
        <v>93</v>
      </c>
      <c r="C19" s="4" t="s">
        <v>44</v>
      </c>
      <c r="D19" s="4" t="s">
        <v>50</v>
      </c>
      <c r="E19" s="3" t="s">
        <v>18</v>
      </c>
      <c r="F19" s="44">
        <v>2.5</v>
      </c>
      <c r="H19" s="3"/>
      <c r="I19" s="3"/>
      <c r="J19" s="3"/>
      <c r="K19" s="3"/>
      <c r="L19" s="18" t="s">
        <v>134</v>
      </c>
      <c r="M19" s="18" t="s">
        <v>157</v>
      </c>
      <c r="P19" s="18" t="s">
        <v>126</v>
      </c>
      <c r="Q19" s="3">
        <v>1760</v>
      </c>
      <c r="R19" s="3">
        <v>42</v>
      </c>
      <c r="S19" s="3">
        <v>12</v>
      </c>
      <c r="T19" s="19">
        <v>15</v>
      </c>
      <c r="U19" s="3">
        <v>3</v>
      </c>
      <c r="V19" s="3">
        <v>4</v>
      </c>
      <c r="W19" s="5" t="s">
        <v>174</v>
      </c>
    </row>
    <row r="20" spans="1:23" hidden="1">
      <c r="A20" s="3">
        <v>49</v>
      </c>
      <c r="B20" s="7" t="s">
        <v>94</v>
      </c>
      <c r="C20" s="4" t="s">
        <v>45</v>
      </c>
      <c r="D20" s="4" t="s">
        <v>51</v>
      </c>
      <c r="E20" s="3" t="s">
        <v>19</v>
      </c>
      <c r="F20" s="44">
        <v>3</v>
      </c>
      <c r="H20" s="3"/>
      <c r="I20" s="3"/>
      <c r="J20" s="3"/>
      <c r="K20" s="3"/>
      <c r="L20" s="18" t="s">
        <v>135</v>
      </c>
      <c r="M20" s="18" t="s">
        <v>158</v>
      </c>
      <c r="P20" s="18" t="s">
        <v>127</v>
      </c>
      <c r="Q20" s="3">
        <v>1760</v>
      </c>
      <c r="R20" s="3">
        <v>42</v>
      </c>
      <c r="S20" s="3">
        <v>12</v>
      </c>
      <c r="T20" s="19">
        <v>20</v>
      </c>
      <c r="U20" s="3">
        <v>3</v>
      </c>
      <c r="V20" s="3">
        <v>4</v>
      </c>
      <c r="W20" s="5" t="s">
        <v>175</v>
      </c>
    </row>
    <row r="21" spans="1:23" hidden="1">
      <c r="A21" s="3">
        <v>54.5</v>
      </c>
      <c r="B21" s="7" t="s">
        <v>94</v>
      </c>
      <c r="C21" s="4" t="s">
        <v>45</v>
      </c>
      <c r="D21" s="4" t="s">
        <v>51</v>
      </c>
      <c r="E21" s="3" t="s">
        <v>19</v>
      </c>
      <c r="F21" s="44">
        <v>3</v>
      </c>
      <c r="H21" s="3"/>
      <c r="I21" s="3"/>
      <c r="J21" s="3"/>
      <c r="K21" s="3"/>
      <c r="L21" s="18" t="s">
        <v>136</v>
      </c>
      <c r="M21" s="18" t="s">
        <v>159</v>
      </c>
      <c r="P21" s="18" t="s">
        <v>128</v>
      </c>
      <c r="Q21" s="3">
        <v>1760</v>
      </c>
      <c r="R21" s="3">
        <v>48</v>
      </c>
      <c r="S21" s="3">
        <v>14</v>
      </c>
      <c r="T21" s="19">
        <v>25</v>
      </c>
      <c r="U21" s="3">
        <v>3</v>
      </c>
      <c r="V21" s="3">
        <v>4</v>
      </c>
      <c r="W21" s="5" t="s">
        <v>175</v>
      </c>
    </row>
    <row r="22" spans="1:23" hidden="1">
      <c r="A22" s="3">
        <v>60</v>
      </c>
      <c r="B22" s="7" t="s">
        <v>229</v>
      </c>
      <c r="C22" s="4" t="s">
        <v>230</v>
      </c>
      <c r="D22" s="4" t="s">
        <v>231</v>
      </c>
      <c r="E22" s="3" t="s">
        <v>232</v>
      </c>
      <c r="F22" s="44">
        <v>3.5</v>
      </c>
      <c r="H22" s="3"/>
      <c r="I22" s="3"/>
      <c r="J22" s="3"/>
      <c r="K22" s="3"/>
      <c r="L22" s="18" t="s">
        <v>137</v>
      </c>
      <c r="M22" s="18" t="s">
        <v>205</v>
      </c>
      <c r="P22" s="18" t="s">
        <v>129</v>
      </c>
      <c r="Q22" s="3">
        <v>1765</v>
      </c>
      <c r="R22" s="3">
        <v>48</v>
      </c>
      <c r="S22" s="3">
        <v>14</v>
      </c>
      <c r="T22" s="19">
        <v>30</v>
      </c>
      <c r="U22" s="3">
        <v>3</v>
      </c>
      <c r="V22" s="3">
        <v>4</v>
      </c>
      <c r="W22" s="5" t="s">
        <v>176</v>
      </c>
    </row>
    <row r="23" spans="1:23" hidden="1">
      <c r="A23" s="3">
        <v>66</v>
      </c>
      <c r="B23" s="7" t="s">
        <v>229</v>
      </c>
      <c r="C23" s="4" t="s">
        <v>230</v>
      </c>
      <c r="D23" s="4" t="s">
        <v>231</v>
      </c>
      <c r="E23" s="3" t="s">
        <v>232</v>
      </c>
      <c r="F23" s="44">
        <v>3.5</v>
      </c>
      <c r="H23" s="3"/>
      <c r="I23" s="3"/>
      <c r="J23" s="3"/>
      <c r="K23" s="3"/>
      <c r="L23" s="18" t="s">
        <v>138</v>
      </c>
      <c r="M23" s="18" t="s">
        <v>160</v>
      </c>
      <c r="P23" s="18" t="s">
        <v>130</v>
      </c>
      <c r="Q23" s="3">
        <v>1760</v>
      </c>
      <c r="R23" s="3">
        <v>55</v>
      </c>
      <c r="S23" s="3">
        <v>16</v>
      </c>
      <c r="T23" s="19">
        <v>40</v>
      </c>
      <c r="U23" s="3">
        <v>3</v>
      </c>
      <c r="V23" s="3">
        <v>4</v>
      </c>
      <c r="W23" s="5" t="s">
        <v>177</v>
      </c>
    </row>
    <row r="24" spans="1:23" hidden="1">
      <c r="A24" s="3">
        <v>73</v>
      </c>
      <c r="B24" s="7" t="s">
        <v>229</v>
      </c>
      <c r="C24" s="4" t="s">
        <v>230</v>
      </c>
      <c r="D24" s="4" t="s">
        <v>231</v>
      </c>
      <c r="E24" s="3" t="s">
        <v>232</v>
      </c>
      <c r="F24" s="44">
        <v>3.5</v>
      </c>
      <c r="H24" s="3"/>
      <c r="I24" s="3"/>
      <c r="J24" s="3"/>
      <c r="K24" s="3"/>
      <c r="L24" s="18" t="s">
        <v>139</v>
      </c>
      <c r="M24" s="18" t="s">
        <v>206</v>
      </c>
      <c r="P24" s="18" t="s">
        <v>131</v>
      </c>
      <c r="Q24" s="3">
        <v>1770</v>
      </c>
      <c r="R24" s="3">
        <v>60</v>
      </c>
      <c r="S24" s="3">
        <v>18</v>
      </c>
      <c r="T24" s="19">
        <v>50</v>
      </c>
      <c r="U24" s="3">
        <v>3</v>
      </c>
      <c r="V24" s="3">
        <v>4</v>
      </c>
      <c r="W24" s="5" t="s">
        <v>178</v>
      </c>
    </row>
    <row r="25" spans="1:23" hidden="1">
      <c r="A25" s="3">
        <v>83</v>
      </c>
      <c r="B25" s="7" t="s">
        <v>229</v>
      </c>
      <c r="C25" s="4" t="s">
        <v>230</v>
      </c>
      <c r="D25" s="4" t="s">
        <v>231</v>
      </c>
      <c r="E25" s="3" t="s">
        <v>232</v>
      </c>
      <c r="F25" s="44">
        <v>3.5</v>
      </c>
      <c r="H25" s="3"/>
      <c r="I25" s="3"/>
      <c r="J25" s="3"/>
      <c r="K25" s="3"/>
      <c r="L25" s="18" t="s">
        <v>140</v>
      </c>
      <c r="M25" s="18" t="s">
        <v>207</v>
      </c>
      <c r="P25" s="18" t="s">
        <v>132</v>
      </c>
      <c r="Q25" s="3">
        <v>1765</v>
      </c>
      <c r="R25" s="3">
        <v>60</v>
      </c>
      <c r="S25" s="3">
        <v>18</v>
      </c>
      <c r="T25" s="19">
        <v>60</v>
      </c>
      <c r="U25" s="3">
        <v>3</v>
      </c>
      <c r="V25" s="3">
        <v>4</v>
      </c>
      <c r="W25" s="5" t="s">
        <v>178</v>
      </c>
    </row>
    <row r="26" spans="1:23" hidden="1">
      <c r="H26" s="3"/>
      <c r="I26" s="3"/>
      <c r="J26" s="3"/>
      <c r="K26" s="3"/>
      <c r="L26" s="3"/>
      <c r="M26" s="18"/>
      <c r="P26" s="18" t="s">
        <v>133</v>
      </c>
      <c r="Q26" s="3">
        <v>1775</v>
      </c>
      <c r="R26" s="3">
        <v>65</v>
      </c>
      <c r="S26" s="3">
        <v>18</v>
      </c>
      <c r="T26" s="19">
        <v>75</v>
      </c>
      <c r="U26" s="3">
        <v>3</v>
      </c>
      <c r="V26" s="3">
        <v>4</v>
      </c>
      <c r="W26" s="5" t="s">
        <v>178</v>
      </c>
    </row>
    <row r="27" spans="1:23" hidden="1">
      <c r="H27" s="3"/>
      <c r="I27" s="3"/>
      <c r="J27" s="3"/>
      <c r="K27" s="3"/>
      <c r="L27" s="3"/>
      <c r="M27" s="3"/>
      <c r="P27" s="18" t="s">
        <v>134</v>
      </c>
      <c r="Q27" s="3">
        <v>1775</v>
      </c>
      <c r="R27" s="3">
        <v>75</v>
      </c>
      <c r="S27" s="3">
        <v>20</v>
      </c>
      <c r="T27" s="19">
        <v>100</v>
      </c>
      <c r="U27" s="3">
        <v>3</v>
      </c>
      <c r="V27" s="3">
        <v>4</v>
      </c>
      <c r="W27" s="5" t="s">
        <v>178</v>
      </c>
    </row>
    <row r="28" spans="1:23" hidden="1">
      <c r="A28" s="6" t="s">
        <v>20</v>
      </c>
      <c r="B28" s="3" t="s">
        <v>214</v>
      </c>
      <c r="H28" s="3"/>
      <c r="I28" s="3"/>
      <c r="J28" s="3"/>
      <c r="K28" s="3"/>
      <c r="L28" s="3"/>
      <c r="M28" s="3"/>
      <c r="P28" s="18" t="s">
        <v>135</v>
      </c>
      <c r="Q28" s="3">
        <v>1770</v>
      </c>
      <c r="R28" s="3">
        <v>75</v>
      </c>
      <c r="S28" s="3">
        <v>20</v>
      </c>
      <c r="T28" s="19">
        <v>125</v>
      </c>
      <c r="U28" s="3">
        <v>3</v>
      </c>
      <c r="V28" s="3">
        <v>4</v>
      </c>
      <c r="W28" s="5" t="s">
        <v>178</v>
      </c>
    </row>
    <row r="29" spans="1:23" hidden="1">
      <c r="A29" s="3" t="s">
        <v>53</v>
      </c>
      <c r="B29" s="3" t="s">
        <v>219</v>
      </c>
      <c r="H29" s="3"/>
      <c r="I29" s="3"/>
      <c r="J29" s="3"/>
      <c r="K29" s="3"/>
      <c r="L29" s="3"/>
      <c r="M29" s="3"/>
      <c r="P29" s="18" t="s">
        <v>136</v>
      </c>
      <c r="Q29" s="3">
        <v>1770</v>
      </c>
      <c r="R29" s="3">
        <v>85</v>
      </c>
      <c r="S29" s="3">
        <v>22</v>
      </c>
      <c r="T29" s="19">
        <v>150</v>
      </c>
      <c r="U29" s="3">
        <v>3</v>
      </c>
      <c r="V29" s="3">
        <v>4</v>
      </c>
      <c r="W29" s="5" t="s">
        <v>178</v>
      </c>
    </row>
    <row r="30" spans="1:23" hidden="1">
      <c r="A30" s="3" t="s">
        <v>25</v>
      </c>
      <c r="B30" s="3" t="s">
        <v>215</v>
      </c>
      <c r="H30" s="3"/>
      <c r="I30" s="3"/>
      <c r="J30" s="3"/>
      <c r="K30" s="3"/>
      <c r="L30" s="3"/>
      <c r="M30" s="3"/>
      <c r="P30" s="18" t="s">
        <v>137</v>
      </c>
      <c r="Q30" s="3">
        <v>1770</v>
      </c>
      <c r="R30" s="3">
        <v>85</v>
      </c>
      <c r="S30" s="3">
        <v>22</v>
      </c>
      <c r="T30" s="19">
        <v>175</v>
      </c>
      <c r="U30" s="3">
        <v>3</v>
      </c>
      <c r="V30" s="3">
        <v>4</v>
      </c>
      <c r="W30" s="5" t="s">
        <v>178</v>
      </c>
    </row>
    <row r="31" spans="1:23" hidden="1">
      <c r="A31" s="3" t="s">
        <v>26</v>
      </c>
      <c r="B31" s="3" t="s">
        <v>216</v>
      </c>
      <c r="H31" s="3"/>
      <c r="I31" s="3"/>
      <c r="J31" s="3"/>
      <c r="K31" s="3"/>
      <c r="L31" s="3"/>
      <c r="M31" s="3"/>
      <c r="P31" s="18" t="s">
        <v>138</v>
      </c>
      <c r="Q31" s="3">
        <v>1775</v>
      </c>
      <c r="R31" s="3">
        <v>95</v>
      </c>
      <c r="S31" s="3">
        <v>25</v>
      </c>
      <c r="T31" s="19">
        <v>200</v>
      </c>
      <c r="U31" s="3">
        <v>3</v>
      </c>
      <c r="V31" s="3">
        <v>4</v>
      </c>
      <c r="W31" s="5" t="s">
        <v>178</v>
      </c>
    </row>
    <row r="32" spans="1:23" hidden="1">
      <c r="H32" s="3"/>
      <c r="I32" s="3"/>
      <c r="J32" s="3"/>
      <c r="K32" s="3"/>
      <c r="L32" s="3"/>
      <c r="M32" s="3"/>
      <c r="P32" s="18" t="s">
        <v>139</v>
      </c>
      <c r="Q32" s="3">
        <v>1775</v>
      </c>
      <c r="R32" s="3">
        <v>95</v>
      </c>
      <c r="S32" s="3">
        <v>25</v>
      </c>
      <c r="T32" s="19">
        <v>250</v>
      </c>
      <c r="U32" s="3">
        <v>3</v>
      </c>
      <c r="V32" s="3">
        <v>4</v>
      </c>
      <c r="W32" s="5" t="s">
        <v>178</v>
      </c>
    </row>
    <row r="33" spans="1:23" hidden="1">
      <c r="H33" s="3"/>
      <c r="I33" s="3"/>
      <c r="J33" s="3"/>
      <c r="K33" s="3"/>
      <c r="L33" s="3"/>
      <c r="M33" s="3"/>
      <c r="P33" s="18" t="s">
        <v>140</v>
      </c>
      <c r="Q33" s="3">
        <v>1775</v>
      </c>
      <c r="R33" s="3">
        <v>95</v>
      </c>
      <c r="S33" s="3">
        <v>25</v>
      </c>
      <c r="T33" s="19">
        <v>300</v>
      </c>
      <c r="U33" s="3">
        <v>3</v>
      </c>
      <c r="V33" s="3">
        <v>4</v>
      </c>
      <c r="W33" s="5" t="s">
        <v>178</v>
      </c>
    </row>
    <row r="34" spans="1:23" hidden="1">
      <c r="A34" s="6" t="s">
        <v>22</v>
      </c>
      <c r="H34" s="3"/>
      <c r="I34" s="3"/>
      <c r="J34" s="3"/>
      <c r="K34" s="3"/>
      <c r="L34" s="3"/>
      <c r="M34" s="3"/>
      <c r="O34" s="3" t="s">
        <v>109</v>
      </c>
      <c r="P34" s="17" t="s">
        <v>141</v>
      </c>
      <c r="Q34" s="3">
        <v>1660</v>
      </c>
      <c r="R34" s="3">
        <v>14</v>
      </c>
      <c r="S34" s="3">
        <v>5</v>
      </c>
      <c r="T34" s="19">
        <v>0.5</v>
      </c>
      <c r="U34" s="3">
        <v>3</v>
      </c>
      <c r="V34" s="3">
        <v>4</v>
      </c>
      <c r="W34" s="5" t="s">
        <v>172</v>
      </c>
    </row>
    <row r="35" spans="1:23" hidden="1">
      <c r="A35" s="3" t="s">
        <v>27</v>
      </c>
      <c r="H35" s="3"/>
      <c r="I35" s="3"/>
      <c r="J35" s="3"/>
      <c r="K35" s="3"/>
      <c r="L35" s="3"/>
      <c r="M35" s="3"/>
      <c r="P35" s="18" t="s">
        <v>142</v>
      </c>
      <c r="Q35" s="3">
        <v>1668</v>
      </c>
      <c r="R35" s="3">
        <v>19</v>
      </c>
      <c r="S35" s="3">
        <v>6</v>
      </c>
      <c r="T35" s="19">
        <v>1</v>
      </c>
      <c r="U35" s="3">
        <v>3</v>
      </c>
      <c r="V35" s="3">
        <v>4</v>
      </c>
      <c r="W35" s="5" t="s">
        <v>224</v>
      </c>
    </row>
    <row r="36" spans="1:23" hidden="1">
      <c r="A36" s="3" t="s">
        <v>9</v>
      </c>
      <c r="H36" s="3"/>
      <c r="I36" s="3"/>
      <c r="J36" s="3"/>
      <c r="K36" s="3"/>
      <c r="L36" s="3"/>
      <c r="M36" s="3"/>
      <c r="P36" s="18" t="s">
        <v>143</v>
      </c>
      <c r="Q36" s="3">
        <v>1680</v>
      </c>
      <c r="R36" s="3">
        <v>24</v>
      </c>
      <c r="S36" s="3">
        <v>8</v>
      </c>
      <c r="T36" s="19">
        <v>1.5</v>
      </c>
      <c r="U36" s="3">
        <v>3</v>
      </c>
      <c r="V36" s="3">
        <v>4</v>
      </c>
      <c r="W36" s="5" t="s">
        <v>173</v>
      </c>
    </row>
    <row r="37" spans="1:23" hidden="1">
      <c r="A37" s="3" t="s">
        <v>54</v>
      </c>
      <c r="H37" s="11"/>
      <c r="I37" s="11"/>
      <c r="J37" s="11"/>
      <c r="K37" s="11"/>
      <c r="L37" s="11"/>
      <c r="M37" s="11"/>
      <c r="P37" s="18" t="s">
        <v>144</v>
      </c>
      <c r="Q37" s="3">
        <v>1680</v>
      </c>
      <c r="R37" s="3">
        <v>24</v>
      </c>
      <c r="S37" s="3">
        <v>8</v>
      </c>
      <c r="T37" s="19">
        <v>2</v>
      </c>
      <c r="U37" s="3">
        <v>3</v>
      </c>
      <c r="V37" s="3">
        <v>4</v>
      </c>
      <c r="W37" s="5" t="s">
        <v>173</v>
      </c>
    </row>
    <row r="38" spans="1:23" hidden="1">
      <c r="H38" s="3"/>
      <c r="I38" s="3"/>
      <c r="J38" s="3"/>
      <c r="K38" s="3"/>
      <c r="L38" s="3"/>
      <c r="M38" s="3"/>
      <c r="P38" s="18" t="s">
        <v>145</v>
      </c>
      <c r="Q38" s="3">
        <v>1716</v>
      </c>
      <c r="R38" s="3">
        <v>28</v>
      </c>
      <c r="S38" s="3">
        <v>8</v>
      </c>
      <c r="T38" s="19">
        <v>3</v>
      </c>
      <c r="U38" s="3">
        <v>3</v>
      </c>
      <c r="V38" s="3">
        <v>4</v>
      </c>
      <c r="W38" s="5" t="s">
        <v>173</v>
      </c>
    </row>
    <row r="39" spans="1:23" hidden="1">
      <c r="H39" s="3"/>
      <c r="I39" s="3"/>
      <c r="J39" s="3"/>
      <c r="K39" s="3"/>
      <c r="L39" s="3"/>
      <c r="M39" s="3"/>
      <c r="P39" s="18" t="s">
        <v>146</v>
      </c>
      <c r="Q39" s="3">
        <v>1728</v>
      </c>
      <c r="R39" s="3">
        <v>28</v>
      </c>
      <c r="S39" s="3">
        <v>8</v>
      </c>
      <c r="T39" s="19">
        <v>5.5</v>
      </c>
      <c r="U39" s="3">
        <v>3</v>
      </c>
      <c r="V39" s="3">
        <v>4</v>
      </c>
      <c r="W39" s="5" t="s">
        <v>173</v>
      </c>
    </row>
    <row r="40" spans="1:23" hidden="1">
      <c r="A40" s="6" t="s">
        <v>40</v>
      </c>
      <c r="B40" s="6" t="s">
        <v>62</v>
      </c>
      <c r="C40" s="6" t="s">
        <v>96</v>
      </c>
      <c r="D40" s="6" t="s">
        <v>97</v>
      </c>
      <c r="E40" s="6" t="s">
        <v>98</v>
      </c>
      <c r="F40" s="6" t="s">
        <v>99</v>
      </c>
      <c r="H40" s="3"/>
      <c r="I40" s="3"/>
      <c r="J40" s="3"/>
      <c r="K40" s="3"/>
      <c r="L40" s="3"/>
      <c r="M40" s="3"/>
      <c r="P40" s="18" t="s">
        <v>147</v>
      </c>
      <c r="Q40" s="3">
        <v>1728</v>
      </c>
      <c r="R40" s="3">
        <v>38</v>
      </c>
      <c r="S40" s="3">
        <v>10</v>
      </c>
      <c r="T40" s="19">
        <v>7.5</v>
      </c>
      <c r="U40" s="3">
        <v>3</v>
      </c>
      <c r="V40" s="3">
        <v>4</v>
      </c>
      <c r="W40" s="5" t="s">
        <v>173</v>
      </c>
    </row>
    <row r="41" spans="1:23" hidden="1">
      <c r="A41" s="3">
        <v>1</v>
      </c>
      <c r="B41" s="3">
        <v>220</v>
      </c>
      <c r="C41" s="3">
        <v>60</v>
      </c>
      <c r="D41" s="3">
        <v>2</v>
      </c>
      <c r="E41" s="4" t="s">
        <v>80</v>
      </c>
      <c r="F41" s="4" t="s">
        <v>82</v>
      </c>
      <c r="H41" s="3"/>
      <c r="I41" s="3"/>
      <c r="J41" s="3"/>
      <c r="K41" s="3"/>
      <c r="L41" s="3"/>
      <c r="M41" s="3"/>
      <c r="P41" s="18" t="s">
        <v>148</v>
      </c>
      <c r="Q41" s="3">
        <v>1728</v>
      </c>
      <c r="R41" s="3">
        <v>38</v>
      </c>
      <c r="S41" s="3">
        <v>10</v>
      </c>
      <c r="T41" s="19">
        <v>10</v>
      </c>
      <c r="U41" s="3">
        <v>3</v>
      </c>
      <c r="V41" s="3">
        <v>4</v>
      </c>
      <c r="W41" s="5" t="s">
        <v>174</v>
      </c>
    </row>
    <row r="42" spans="1:23" hidden="1">
      <c r="A42" s="3">
        <v>3</v>
      </c>
      <c r="B42" s="3">
        <v>380</v>
      </c>
      <c r="C42" s="3">
        <v>50</v>
      </c>
      <c r="D42" s="3">
        <v>4</v>
      </c>
      <c r="E42" s="4" t="s">
        <v>81</v>
      </c>
      <c r="F42" s="4" t="s">
        <v>100</v>
      </c>
      <c r="H42" s="3"/>
      <c r="I42" s="3"/>
      <c r="J42" s="3"/>
      <c r="K42" s="3"/>
      <c r="L42" s="3"/>
      <c r="M42" s="3"/>
      <c r="P42" s="18" t="s">
        <v>149</v>
      </c>
      <c r="Q42" s="3">
        <v>1728</v>
      </c>
      <c r="R42" s="3">
        <v>42</v>
      </c>
      <c r="S42" s="3">
        <v>12</v>
      </c>
      <c r="T42" s="19">
        <v>15</v>
      </c>
      <c r="U42" s="3">
        <v>3</v>
      </c>
      <c r="V42" s="3">
        <v>4</v>
      </c>
      <c r="W42" s="5" t="s">
        <v>174</v>
      </c>
    </row>
    <row r="43" spans="1:23" hidden="1">
      <c r="B43" s="3">
        <v>440</v>
      </c>
      <c r="D43" s="3">
        <v>6</v>
      </c>
      <c r="F43" s="4"/>
      <c r="H43" s="3"/>
      <c r="I43" s="3"/>
      <c r="J43" s="3"/>
      <c r="K43" s="3"/>
      <c r="L43" s="3"/>
      <c r="M43" s="3"/>
      <c r="P43" s="18" t="s">
        <v>150</v>
      </c>
      <c r="Q43" s="3">
        <v>1752</v>
      </c>
      <c r="R43" s="3">
        <v>42</v>
      </c>
      <c r="S43" s="3">
        <v>12</v>
      </c>
      <c r="T43" s="19">
        <v>20</v>
      </c>
      <c r="U43" s="3">
        <v>3</v>
      </c>
      <c r="V43" s="3">
        <v>4</v>
      </c>
      <c r="W43" s="5" t="s">
        <v>175</v>
      </c>
    </row>
    <row r="44" spans="1:23" hidden="1">
      <c r="D44" s="3">
        <v>8</v>
      </c>
      <c r="F44" s="4"/>
      <c r="H44" s="4"/>
      <c r="I44" s="4"/>
      <c r="J44" s="4"/>
      <c r="K44" s="4"/>
      <c r="L44" s="4"/>
      <c r="M44" s="4"/>
      <c r="P44" s="18" t="s">
        <v>151</v>
      </c>
      <c r="Q44" s="3">
        <v>1752</v>
      </c>
      <c r="R44" s="3">
        <v>48</v>
      </c>
      <c r="S44" s="3">
        <v>14</v>
      </c>
      <c r="T44" s="19">
        <v>25</v>
      </c>
      <c r="U44" s="3">
        <v>3</v>
      </c>
      <c r="V44" s="3">
        <v>4</v>
      </c>
      <c r="W44" s="5" t="s">
        <v>175</v>
      </c>
    </row>
    <row r="45" spans="1:23" hidden="1">
      <c r="D45" s="3"/>
      <c r="F45" s="4"/>
      <c r="P45" s="18" t="s">
        <v>152</v>
      </c>
      <c r="Q45" s="3">
        <v>1764</v>
      </c>
      <c r="R45" s="3">
        <v>48</v>
      </c>
      <c r="S45" s="3">
        <v>14</v>
      </c>
      <c r="T45" s="19">
        <v>30</v>
      </c>
      <c r="U45" s="3">
        <v>3</v>
      </c>
      <c r="V45" s="3">
        <v>4</v>
      </c>
      <c r="W45" s="5" t="s">
        <v>176</v>
      </c>
    </row>
    <row r="46" spans="1:23" hidden="1">
      <c r="A46" s="11"/>
      <c r="B46" s="13"/>
      <c r="C46" s="3"/>
      <c r="D46" s="3"/>
      <c r="E46" s="3"/>
      <c r="F46" s="4"/>
      <c r="P46" s="18" t="s">
        <v>153</v>
      </c>
      <c r="Q46" s="3">
        <v>1764</v>
      </c>
      <c r="R46" s="3">
        <v>55</v>
      </c>
      <c r="S46" s="3">
        <v>16</v>
      </c>
      <c r="T46" s="19">
        <v>40</v>
      </c>
      <c r="U46" s="3">
        <v>3</v>
      </c>
      <c r="V46" s="3">
        <v>4</v>
      </c>
      <c r="W46" s="5" t="s">
        <v>177</v>
      </c>
    </row>
    <row r="47" spans="1:23" hidden="1">
      <c r="A47" s="12" t="s">
        <v>0</v>
      </c>
      <c r="B47" s="3" t="s">
        <v>211</v>
      </c>
      <c r="P47" s="18" t="s">
        <v>154</v>
      </c>
      <c r="Q47" s="3">
        <v>1764</v>
      </c>
      <c r="R47" s="3">
        <v>55</v>
      </c>
      <c r="S47" s="3">
        <v>16</v>
      </c>
      <c r="T47" s="19">
        <v>50</v>
      </c>
      <c r="U47" s="3">
        <v>3</v>
      </c>
      <c r="V47" s="3">
        <v>4</v>
      </c>
      <c r="W47" s="5" t="s">
        <v>178</v>
      </c>
    </row>
    <row r="48" spans="1:23" hidden="1">
      <c r="A48" s="11" t="s">
        <v>28</v>
      </c>
      <c r="B48" s="3" t="s">
        <v>233</v>
      </c>
      <c r="P48" s="18" t="s">
        <v>155</v>
      </c>
      <c r="Q48" s="3">
        <v>1770</v>
      </c>
      <c r="R48" s="3">
        <v>55</v>
      </c>
      <c r="S48" s="3">
        <v>16</v>
      </c>
      <c r="T48" s="19">
        <v>60</v>
      </c>
      <c r="U48" s="3">
        <v>3</v>
      </c>
      <c r="V48" s="3">
        <v>4</v>
      </c>
      <c r="W48" s="5" t="s">
        <v>178</v>
      </c>
    </row>
    <row r="49" spans="1:24" hidden="1">
      <c r="A49" s="3" t="s">
        <v>30</v>
      </c>
      <c r="B49" s="3" t="s">
        <v>234</v>
      </c>
      <c r="P49" s="18" t="s">
        <v>156</v>
      </c>
      <c r="Q49" s="3">
        <v>1770</v>
      </c>
      <c r="R49" s="3">
        <v>60</v>
      </c>
      <c r="S49" s="3">
        <v>18</v>
      </c>
      <c r="T49" s="19">
        <v>75</v>
      </c>
      <c r="U49" s="3">
        <v>3</v>
      </c>
      <c r="V49" s="3">
        <v>4</v>
      </c>
      <c r="W49" s="5" t="s">
        <v>178</v>
      </c>
    </row>
    <row r="50" spans="1:24" hidden="1">
      <c r="A50" s="3" t="s">
        <v>31</v>
      </c>
      <c r="B50" s="3" t="s">
        <v>212</v>
      </c>
      <c r="P50" s="18" t="s">
        <v>157</v>
      </c>
      <c r="Q50" s="3">
        <v>1776</v>
      </c>
      <c r="R50" s="3">
        <v>75</v>
      </c>
      <c r="S50" s="3">
        <v>20</v>
      </c>
      <c r="T50" s="19">
        <v>100</v>
      </c>
      <c r="U50" s="3">
        <v>3</v>
      </c>
      <c r="V50" s="3">
        <v>4</v>
      </c>
      <c r="W50" s="5" t="s">
        <v>178</v>
      </c>
    </row>
    <row r="51" spans="1:24" hidden="1">
      <c r="A51" s="3" t="s">
        <v>32</v>
      </c>
      <c r="B51" s="3" t="s">
        <v>213</v>
      </c>
      <c r="P51" s="18" t="s">
        <v>158</v>
      </c>
      <c r="Q51" s="3">
        <v>1776</v>
      </c>
      <c r="R51" s="3">
        <v>75</v>
      </c>
      <c r="S51" s="3">
        <v>20</v>
      </c>
      <c r="T51" s="19">
        <v>125</v>
      </c>
      <c r="U51" s="3">
        <v>3</v>
      </c>
      <c r="V51" s="3">
        <v>4</v>
      </c>
      <c r="W51" s="5" t="s">
        <v>178</v>
      </c>
    </row>
    <row r="52" spans="1:24" hidden="1">
      <c r="A52" s="3" t="s">
        <v>33</v>
      </c>
      <c r="P52" s="18" t="s">
        <v>159</v>
      </c>
      <c r="Q52" s="3">
        <v>1776</v>
      </c>
      <c r="R52" s="3">
        <v>80</v>
      </c>
      <c r="S52" s="3">
        <v>22</v>
      </c>
      <c r="T52" s="19">
        <v>150</v>
      </c>
      <c r="U52" s="3">
        <v>3</v>
      </c>
      <c r="V52" s="3">
        <v>4</v>
      </c>
      <c r="W52" s="5" t="s">
        <v>178</v>
      </c>
    </row>
    <row r="53" spans="1:24" hidden="1">
      <c r="A53" s="3" t="s">
        <v>34</v>
      </c>
      <c r="P53" s="18" t="s">
        <v>205</v>
      </c>
      <c r="Q53" s="3">
        <v>1776</v>
      </c>
      <c r="R53" s="3">
        <v>80</v>
      </c>
      <c r="S53" s="3">
        <v>22</v>
      </c>
      <c r="T53" s="19">
        <v>180</v>
      </c>
      <c r="U53" s="3">
        <v>3</v>
      </c>
      <c r="V53" s="3">
        <v>4</v>
      </c>
      <c r="W53" s="5" t="s">
        <v>178</v>
      </c>
    </row>
    <row r="54" spans="1:24" hidden="1">
      <c r="A54" s="3" t="s">
        <v>35</v>
      </c>
      <c r="P54" s="18" t="s">
        <v>160</v>
      </c>
      <c r="Q54" s="3">
        <v>1776</v>
      </c>
      <c r="R54" s="3">
        <v>80</v>
      </c>
      <c r="S54" s="3">
        <v>22</v>
      </c>
      <c r="T54" s="19">
        <v>200</v>
      </c>
      <c r="U54" s="3">
        <v>3</v>
      </c>
      <c r="V54" s="3">
        <v>4</v>
      </c>
      <c r="W54" s="5" t="s">
        <v>178</v>
      </c>
    </row>
    <row r="55" spans="1:24" hidden="1">
      <c r="A55" s="3" t="s">
        <v>36</v>
      </c>
      <c r="P55" s="18" t="s">
        <v>206</v>
      </c>
      <c r="Q55" s="3">
        <v>1776</v>
      </c>
      <c r="R55" s="3">
        <v>80</v>
      </c>
      <c r="S55" s="3">
        <v>22</v>
      </c>
      <c r="T55" s="19">
        <v>270</v>
      </c>
      <c r="U55" s="3">
        <v>3</v>
      </c>
      <c r="V55" s="3">
        <v>4</v>
      </c>
      <c r="W55" s="5" t="s">
        <v>178</v>
      </c>
    </row>
    <row r="56" spans="1:24" hidden="1">
      <c r="A56" s="3" t="s">
        <v>210</v>
      </c>
      <c r="P56" s="18" t="s">
        <v>207</v>
      </c>
      <c r="Q56" s="3">
        <v>1788</v>
      </c>
      <c r="R56" s="3">
        <v>95</v>
      </c>
      <c r="S56" s="3">
        <v>25</v>
      </c>
      <c r="T56" s="19">
        <v>340</v>
      </c>
      <c r="U56" s="3">
        <v>3</v>
      </c>
      <c r="V56" s="3">
        <v>4</v>
      </c>
      <c r="W56" s="5" t="s">
        <v>178</v>
      </c>
    </row>
    <row r="57" spans="1:24" hidden="1"/>
    <row r="58" spans="1:24" hidden="1"/>
    <row r="59" spans="1:24" hidden="1">
      <c r="A59" s="6" t="s">
        <v>2</v>
      </c>
    </row>
    <row r="60" spans="1:24" hidden="1">
      <c r="A60" s="3" t="s">
        <v>11</v>
      </c>
    </row>
    <row r="61" spans="1:24" hidden="1">
      <c r="A61" s="3" t="s">
        <v>12</v>
      </c>
    </row>
    <row r="62" spans="1:24" hidden="1">
      <c r="A62" s="3" t="s">
        <v>24</v>
      </c>
    </row>
    <row r="63" spans="1:24" ht="15" thickBot="1">
      <c r="A63" s="34"/>
      <c r="B63" s="34"/>
      <c r="C63" s="38"/>
      <c r="D63" s="38"/>
      <c r="E63" s="38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5"/>
      <c r="U63" s="35"/>
      <c r="V63" s="39"/>
      <c r="W63" s="35"/>
      <c r="X63" s="39"/>
    </row>
    <row r="64" spans="1:24" ht="15" thickBot="1">
      <c r="A64" s="81" t="s">
        <v>198</v>
      </c>
      <c r="B64" s="82"/>
      <c r="C64" s="4" t="s">
        <v>208</v>
      </c>
    </row>
    <row r="65" spans="1:4">
      <c r="A65" s="46" t="s">
        <v>186</v>
      </c>
      <c r="B65" s="52">
        <v>46168</v>
      </c>
      <c r="C65" s="9" t="s">
        <v>209</v>
      </c>
    </row>
    <row r="66" spans="1:4">
      <c r="A66" s="26" t="s">
        <v>195</v>
      </c>
      <c r="B66" s="51" t="s">
        <v>228</v>
      </c>
    </row>
    <row r="67" spans="1:4">
      <c r="A67" s="26" t="s">
        <v>184</v>
      </c>
      <c r="B67" s="32" t="s">
        <v>233</v>
      </c>
    </row>
    <row r="68" spans="1:4">
      <c r="A68" s="26" t="s">
        <v>214</v>
      </c>
      <c r="B68" s="32" t="s">
        <v>219</v>
      </c>
    </row>
    <row r="69" spans="1:4">
      <c r="A69" s="26" t="s">
        <v>185</v>
      </c>
      <c r="B69" s="50">
        <v>46179</v>
      </c>
    </row>
    <row r="70" spans="1:4">
      <c r="A70" s="26" t="s">
        <v>65</v>
      </c>
      <c r="B70" s="32">
        <v>2</v>
      </c>
    </row>
    <row r="71" spans="1:4">
      <c r="A71" s="26" t="s">
        <v>199</v>
      </c>
      <c r="B71" s="32" t="s">
        <v>225</v>
      </c>
    </row>
    <row r="72" spans="1:4">
      <c r="A72" s="26" t="s">
        <v>196</v>
      </c>
      <c r="B72" s="32">
        <v>14</v>
      </c>
    </row>
    <row r="73" spans="1:4" ht="15" thickBot="1">
      <c r="A73" s="27" t="s">
        <v>197</v>
      </c>
      <c r="B73" s="45">
        <v>10</v>
      </c>
    </row>
    <row r="74" spans="1:4" ht="15" thickBot="1"/>
    <row r="75" spans="1:4" ht="15" thickBot="1">
      <c r="A75" s="77" t="s">
        <v>167</v>
      </c>
      <c r="B75" s="78"/>
      <c r="C75" s="79" t="s">
        <v>169</v>
      </c>
      <c r="D75" s="80"/>
    </row>
    <row r="76" spans="1:4">
      <c r="A76" s="46" t="s">
        <v>66</v>
      </c>
      <c r="B76" s="47" t="str">
        <f>VLOOKUP(B67,B67,1)</f>
        <v>DIDWCEB</v>
      </c>
      <c r="C76" s="3" t="s">
        <v>70</v>
      </c>
      <c r="D76" s="3">
        <f>SUM(D89*B96)/B97</f>
        <v>598.15384615384619</v>
      </c>
    </row>
    <row r="77" spans="1:4">
      <c r="A77" s="25" t="s">
        <v>38</v>
      </c>
      <c r="B77" s="29">
        <v>44.5</v>
      </c>
      <c r="C77" s="11" t="s">
        <v>8</v>
      </c>
      <c r="D77" s="3" t="str">
        <f>VLOOKUP(B77,A4:E25,4)</f>
        <v>2 1/2"Ø x 1/2” keyway</v>
      </c>
    </row>
    <row r="78" spans="1:4">
      <c r="A78" s="25" t="s">
        <v>0</v>
      </c>
      <c r="B78" s="32" t="s">
        <v>28</v>
      </c>
      <c r="C78" s="11" t="s">
        <v>10</v>
      </c>
      <c r="D78" s="3" t="str">
        <f>VLOOKUP(B77,A4:E25,5)</f>
        <v>UCP213</v>
      </c>
    </row>
    <row r="79" spans="1:4">
      <c r="A79" s="25" t="s">
        <v>2</v>
      </c>
      <c r="B79" s="32" t="s">
        <v>11</v>
      </c>
      <c r="C79" s="11" t="s">
        <v>7</v>
      </c>
      <c r="D79" s="3" t="str">
        <f>VLOOKUP(B77,A4:E25,3)</f>
        <v>4 1/2”Ø x 4 1/2”L x 2 1/2"Ø bore x 1/2” keyway</v>
      </c>
    </row>
    <row r="80" spans="1:4">
      <c r="A80" s="25" t="s">
        <v>59</v>
      </c>
      <c r="B80" s="32" t="s">
        <v>53</v>
      </c>
      <c r="C80" s="11" t="s">
        <v>8</v>
      </c>
      <c r="D80" s="3" t="str">
        <f>VLOOKUP(B77,A4:E25,2)</f>
        <v>2 1/2”Ø x 1/2" keyway</v>
      </c>
    </row>
    <row r="81" spans="1:4">
      <c r="A81" s="25" t="s">
        <v>60</v>
      </c>
      <c r="B81" s="32" t="s">
        <v>9</v>
      </c>
      <c r="C81" s="11" t="s">
        <v>182</v>
      </c>
      <c r="D81" s="3">
        <f>VLOOKUP(B77,A4:F25,6)</f>
        <v>2.5</v>
      </c>
    </row>
    <row r="82" spans="1:4">
      <c r="A82" s="26" t="s">
        <v>3</v>
      </c>
      <c r="B82" s="32" t="s">
        <v>226</v>
      </c>
      <c r="D82" s="3"/>
    </row>
    <row r="83" spans="1:4">
      <c r="A83" s="26" t="s">
        <v>63</v>
      </c>
      <c r="B83" s="32" t="s">
        <v>227</v>
      </c>
      <c r="D83" s="3"/>
    </row>
    <row r="84" spans="1:4" ht="15" thickBot="1">
      <c r="A84" s="27" t="s">
        <v>166</v>
      </c>
      <c r="B84" s="45">
        <v>595</v>
      </c>
      <c r="D84" s="3"/>
    </row>
    <row r="85" spans="1:4" ht="15" thickBot="1">
      <c r="D85" s="3"/>
    </row>
    <row r="86" spans="1:4" ht="15" thickBot="1">
      <c r="A86" s="77" t="s">
        <v>168</v>
      </c>
      <c r="B86" s="78"/>
      <c r="C86" s="79" t="s">
        <v>170</v>
      </c>
      <c r="D86" s="80"/>
    </row>
    <row r="87" spans="1:4">
      <c r="A87" s="48" t="s">
        <v>71</v>
      </c>
      <c r="B87" s="49" t="s">
        <v>73</v>
      </c>
      <c r="C87" s="11" t="s">
        <v>39</v>
      </c>
      <c r="D87" s="41">
        <f>VLOOKUP(TRIM(B89),P3:W56,5,FALSE)</f>
        <v>15</v>
      </c>
    </row>
    <row r="88" spans="1:4">
      <c r="A88" s="25" t="s">
        <v>105</v>
      </c>
      <c r="B88" s="32" t="s">
        <v>163</v>
      </c>
      <c r="C88" s="11" t="s">
        <v>61</v>
      </c>
      <c r="D88" s="3">
        <f>VLOOKUP(TRIM(B89),P3:W56,6,FALSE)</f>
        <v>3</v>
      </c>
    </row>
    <row r="89" spans="1:4">
      <c r="A89" s="25" t="s">
        <v>39</v>
      </c>
      <c r="B89" s="32" t="s">
        <v>149</v>
      </c>
      <c r="C89" s="3" t="s">
        <v>69</v>
      </c>
      <c r="D89" s="31">
        <f>VLOOKUP(TRIM(B89),P3:W56,2,FALSE)</f>
        <v>1728</v>
      </c>
    </row>
    <row r="90" spans="1:4">
      <c r="A90" s="25" t="s">
        <v>62</v>
      </c>
      <c r="B90" s="32">
        <v>220</v>
      </c>
      <c r="C90" s="3" t="s">
        <v>97</v>
      </c>
      <c r="D90" s="3">
        <f>VLOOKUP(TRIM(B89),P3:W56,7,FALSE)</f>
        <v>4</v>
      </c>
    </row>
    <row r="91" spans="1:4">
      <c r="A91" s="26" t="s">
        <v>96</v>
      </c>
      <c r="B91" s="32">
        <v>60</v>
      </c>
      <c r="C91" s="3" t="s">
        <v>102</v>
      </c>
      <c r="D91" s="3">
        <f>VLOOKUP(TRIM(B89),P3:W56,3,FALSE)</f>
        <v>42</v>
      </c>
    </row>
    <row r="92" spans="1:4">
      <c r="A92" s="26" t="s">
        <v>98</v>
      </c>
      <c r="B92" s="32" t="s">
        <v>80</v>
      </c>
      <c r="C92" s="3" t="s">
        <v>103</v>
      </c>
      <c r="D92" s="3">
        <f>VLOOKUP(TRIM(B89),P3:W56,4,FALSE)</f>
        <v>12</v>
      </c>
    </row>
    <row r="93" spans="1:4">
      <c r="A93" s="26" t="s">
        <v>99</v>
      </c>
      <c r="B93" s="32" t="s">
        <v>82</v>
      </c>
      <c r="C93" s="11" t="s">
        <v>5</v>
      </c>
      <c r="D93" s="3" t="str">
        <f>VLOOKUP(TRIM(B89),P3:W56,8,FALSE)</f>
        <v>3B</v>
      </c>
    </row>
    <row r="94" spans="1:4">
      <c r="A94" s="26" t="s">
        <v>69</v>
      </c>
      <c r="B94" s="30">
        <f>VLOOKUP(D89,D89,1)</f>
        <v>1728</v>
      </c>
      <c r="C94" s="11" t="s">
        <v>179</v>
      </c>
      <c r="D94" s="3">
        <f>SUM(D91)+36</f>
        <v>78</v>
      </c>
    </row>
    <row r="95" spans="1:4">
      <c r="A95" s="26" t="s">
        <v>166</v>
      </c>
      <c r="B95" s="30">
        <f>VLOOKUP(B84,B84,1)</f>
        <v>595</v>
      </c>
      <c r="C95" s="3" t="s">
        <v>180</v>
      </c>
      <c r="D95" s="3">
        <f>ROUNDUP(SUM(D81*25.4)+36, 0)</f>
        <v>100</v>
      </c>
    </row>
    <row r="96" spans="1:4">
      <c r="A96" s="26" t="s">
        <v>5</v>
      </c>
      <c r="B96" s="33">
        <v>4.5</v>
      </c>
    </row>
    <row r="97" spans="1:2">
      <c r="A97" s="26" t="s">
        <v>6</v>
      </c>
      <c r="B97" s="33">
        <v>13</v>
      </c>
    </row>
    <row r="98" spans="1:2" ht="15" thickBot="1">
      <c r="A98" s="27" t="s">
        <v>70</v>
      </c>
      <c r="B98" s="28">
        <f>VLOOKUP(D76,D76,1)</f>
        <v>598.15384615384619</v>
      </c>
    </row>
  </sheetData>
  <sheetProtection selectLockedCells="1"/>
  <mergeCells count="6">
    <mergeCell ref="A2:E2"/>
    <mergeCell ref="A75:B75"/>
    <mergeCell ref="A86:B86"/>
    <mergeCell ref="C75:D75"/>
    <mergeCell ref="C86:D86"/>
    <mergeCell ref="A64:B64"/>
  </mergeCells>
  <phoneticPr fontId="1" type="noConversion"/>
  <dataValidations count="15">
    <dataValidation type="list" allowBlank="1" showInputMessage="1" showErrorMessage="1" sqref="B77" xr:uid="{A015A38D-77AE-4A47-9560-58EC50670803}">
      <formula1>$A$4:$A$25</formula1>
    </dataValidation>
    <dataValidation type="list" allowBlank="1" showInputMessage="1" showErrorMessage="1" sqref="B80" xr:uid="{D8F71D24-EF1F-49AA-8015-9BBC40F14EB4}">
      <formula1>$A$29:$A$31</formula1>
    </dataValidation>
    <dataValidation type="list" allowBlank="1" showInputMessage="1" showErrorMessage="1" sqref="B81" xr:uid="{DA9F5D0F-042A-4973-AFE4-DD0EE6337365}">
      <formula1>$A$35:$A$37</formula1>
    </dataValidation>
    <dataValidation type="list" allowBlank="1" showInputMessage="1" showErrorMessage="1" sqref="B78" xr:uid="{33211795-1ECF-4B2B-91FA-F860EA8AA95B}">
      <formula1>$A$48:$A$56</formula1>
    </dataValidation>
    <dataValidation type="list" allowBlank="1" showInputMessage="1" showErrorMessage="1" sqref="B79:B81" xr:uid="{FA67363C-A95A-40A9-874B-D58894168EA0}">
      <formula1>$A$60:$A$62</formula1>
    </dataValidation>
    <dataValidation type="list" allowBlank="1" showInputMessage="1" showErrorMessage="1" sqref="B92" xr:uid="{68729707-0687-4D77-8372-08EF39CBADBB}">
      <formula1>$E$41:$E$42</formula1>
    </dataValidation>
    <dataValidation type="list" allowBlank="1" showInputMessage="1" showErrorMessage="1" sqref="B93" xr:uid="{D11132BF-2563-4FE4-8431-901F93BECBD7}">
      <formula1>$F$41:$F$42</formula1>
    </dataValidation>
    <dataValidation type="list" allowBlank="1" showInputMessage="1" showErrorMessage="1" sqref="B90" xr:uid="{6A235A3F-A9F5-4EE0-9DF9-F7110F615996}">
      <formula1>$B$41:$B$43</formula1>
    </dataValidation>
    <dataValidation type="list" allowBlank="1" showInputMessage="1" showErrorMessage="1" sqref="B91:B93" xr:uid="{B76DB8FF-154D-40C2-A029-2449BB7CCF88}">
      <formula1>$C$41:$C$42</formula1>
    </dataValidation>
    <dataValidation type="list" allowBlank="1" showInputMessage="1" showErrorMessage="1" sqref="N42 N44" xr:uid="{37459FDC-F5A4-4306-9121-BB263B9D30E7}">
      <formula1>#REF!</formula1>
    </dataValidation>
    <dataValidation type="list" allowBlank="1" showInputMessage="1" showErrorMessage="1" sqref="B87" xr:uid="{BC83744C-A5D8-4E8D-9C7C-FFEBB8002174}">
      <formula1>Brand</formula1>
    </dataValidation>
    <dataValidation type="list" allowBlank="1" showInputMessage="1" showErrorMessage="1" sqref="B88:B90" xr:uid="{69D76E25-69A5-440E-B683-CA9B91145624}">
      <formula1>INDIRECT(B87)</formula1>
    </dataValidation>
    <dataValidation type="list" allowBlank="1" showInputMessage="1" showErrorMessage="1" sqref="B71" xr:uid="{B5629C67-D919-4E22-BF60-284C39DAAC26}">
      <formula1>"pc., pcs., set"</formula1>
    </dataValidation>
    <dataValidation type="list" allowBlank="1" showInputMessage="1" showErrorMessage="1" sqref="B68" xr:uid="{671F6235-1557-4F95-A9D0-5DFCBA277A31}">
      <formula1>$B$29:$B$31</formula1>
    </dataValidation>
    <dataValidation type="list" allowBlank="1" showInputMessage="1" showErrorMessage="1" sqref="B67" xr:uid="{E285A008-9E8B-4013-BC06-82BEF9ACEE7F}">
      <formula1>$B$48:$B$51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Centrifugal Blower-DIDW</vt:lpstr>
      <vt:lpstr>Source</vt:lpstr>
      <vt:lpstr>Brand</vt:lpstr>
      <vt:lpstr>Hyundai</vt:lpstr>
      <vt:lpstr>Hyundai_3Phase</vt:lpstr>
      <vt:lpstr>TECO</vt:lpstr>
      <vt:lpstr>TECO_1Phase</vt:lpstr>
      <vt:lpstr>TECO_3Phase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Rey</dc:creator>
  <cp:lastModifiedBy>Gil Rey</cp:lastModifiedBy>
  <cp:lastPrinted>2026-04-02T07:15:44Z</cp:lastPrinted>
  <dcterms:created xsi:type="dcterms:W3CDTF">2026-03-28T03:07:18Z</dcterms:created>
  <dcterms:modified xsi:type="dcterms:W3CDTF">2026-06-12T02:11:54Z</dcterms:modified>
</cp:coreProperties>
</file>