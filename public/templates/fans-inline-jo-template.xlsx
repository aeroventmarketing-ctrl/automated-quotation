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C2DF303F-9D36-4F9A-856E-AF9E923E956F}" xr6:coauthVersionLast="47" xr6:coauthVersionMax="47" xr10:uidLastSave="{00000000-0000-0000-0000-000000000000}"/>
  <workbookProtection workbookAlgorithmName="SHA-512" workbookHashValue="mWvqvJypoU9fHEuxVmnEET9CbH01Lq3wkipnyrna3z/T8mMHMTPHan1gu0CnUdX/Oh0cd3Cl3gFkky9gnGwKMw==" workbookSaltValue="82Ci6u1zJm8QJY7zmmKoHQ==" workbookSpinCount="100000" lockStructure="1"/>
  <bookViews>
    <workbookView xWindow="-110" yWindow="-110" windowWidth="25820" windowHeight="15500" activeTab="1" xr2:uid="{D46C57F3-5AEC-4817-9118-08C7135DF8D2}"/>
  </bookViews>
  <sheets>
    <sheet name="Centrifugal Inline Blower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N20" i="1"/>
  <c r="H20" i="1"/>
  <c r="C17" i="1"/>
  <c r="N15" i="1"/>
  <c r="J15" i="1"/>
  <c r="H15" i="1"/>
  <c r="F15" i="1"/>
  <c r="D13" i="1"/>
  <c r="S13" i="1"/>
  <c r="C44" i="1"/>
  <c r="D81" i="2"/>
  <c r="D95" i="2" s="1"/>
  <c r="D80" i="2"/>
  <c r="D93" i="2"/>
  <c r="D92" i="2"/>
  <c r="D91" i="2"/>
  <c r="J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D77" i="2"/>
  <c r="C40" i="1"/>
  <c r="C38" i="1"/>
  <c r="R36" i="1"/>
  <c r="C36" i="1"/>
  <c r="R38" i="1"/>
  <c r="D94" i="2" l="1"/>
  <c r="O46" i="1"/>
  <c r="J48" i="1"/>
  <c r="U48" i="1"/>
  <c r="G48" i="1"/>
  <c r="C56" i="1"/>
  <c r="C50" i="1"/>
  <c r="D76" i="2"/>
  <c r="B98" i="2" s="1"/>
  <c r="B94" i="2"/>
  <c r="N44" i="1"/>
  <c r="G46" i="1"/>
  <c r="D52" i="1"/>
  <c r="U46" i="1" l="1"/>
  <c r="I42" i="1"/>
</calcChain>
</file>

<file path=xl/sharedStrings.xml><?xml version="1.0" encoding="utf-8"?>
<sst xmlns="http://schemas.openxmlformats.org/spreadsheetml/2006/main" count="468" uniqueCount="229">
  <si>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</si>
  <si>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</si>
  <si>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</si>
  <si>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</si>
  <si>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</si>
  <si>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</si>
  <si>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</si>
  <si>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</si>
  <si>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</si>
  <si>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</si>
  <si>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</si>
  <si>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UCP208</t>
  </si>
  <si>
    <t>UCP209</t>
  </si>
  <si>
    <t>UCP211</t>
  </si>
  <si>
    <t>UCP212</t>
  </si>
  <si>
    <t>UCP213</t>
  </si>
  <si>
    <t>UCP215</t>
  </si>
  <si>
    <t>Impeller</t>
  </si>
  <si>
    <t>:</t>
  </si>
  <si>
    <t>Drive</t>
  </si>
  <si>
    <t>___________________________________</t>
  </si>
  <si>
    <t>Backward Curved</t>
  </si>
  <si>
    <t>Direct</t>
  </si>
  <si>
    <t xml:space="preserve"> </t>
  </si>
  <si>
    <t>/afbm rev 7 : 03/28/2026</t>
  </si>
  <si>
    <t>Blade Diameter</t>
  </si>
  <si>
    <t>Motor HP</t>
  </si>
  <si>
    <t>Motor Phase</t>
  </si>
  <si>
    <t>Bore Size</t>
  </si>
  <si>
    <t>Hub Details</t>
  </si>
  <si>
    <t>4”Ø x 4”L x 2"Ø bore x 1/2” keyway</t>
  </si>
  <si>
    <t>4 1/2”Ø x 4 1/2”L x 2 1/2"Ø bore x 1/2” keyway</t>
  </si>
  <si>
    <t>5”Ø x 5”L x 3"Ø bore x 1/2” keyway</t>
  </si>
  <si>
    <t>1"Ø x 5/16” keyway</t>
  </si>
  <si>
    <t>1 1/4"Ø x 3/8” keyway</t>
  </si>
  <si>
    <t>1 1/2”Ø x 3/8” keyway</t>
  </si>
  <si>
    <t>1 3/4 x 1/2” keyway</t>
  </si>
  <si>
    <t>2"Ø x 1/2” keyway</t>
  </si>
  <si>
    <t>2 1/2"Ø x 1/2” keyway</t>
  </si>
  <si>
    <t>3"Ø x 1/2” keyway</t>
  </si>
  <si>
    <t>3”Ø x 3”L x 1 1/2”Ø bore x 3/8” keyway</t>
  </si>
  <si>
    <t>Backwardly Inclined</t>
  </si>
  <si>
    <t>Directly Coupled</t>
  </si>
  <si>
    <t>RPM</t>
  </si>
  <si>
    <t>Shaft Diameter</t>
  </si>
  <si>
    <t>Keyway</t>
  </si>
  <si>
    <t>Centrifugal Blower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</si>
  <si>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</si>
  <si>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</si>
  <si>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</si>
  <si>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</si>
  <si>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</si>
  <si>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</si>
  <si>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</si>
  <si>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</si>
  <si>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</si>
  <si>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</si>
  <si>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</si>
  <si>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</si>
  <si>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</si>
  <si>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</si>
  <si>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</si>
  <si>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</si>
  <si>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</si>
  <si>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</si>
  <si>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</si>
  <si>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</si>
  <si>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</si>
  <si>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</si>
  <si>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</si>
  <si>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TEFC</t>
  </si>
  <si>
    <t>,</t>
  </si>
  <si>
    <t>x</t>
  </si>
  <si>
    <t>mm keyway</t>
  </si>
  <si>
    <t>"Ø x</t>
  </si>
  <si>
    <t>mm Ø bore</t>
  </si>
  <si>
    <t>1”Ø bore x 5/16" keyway</t>
  </si>
  <si>
    <t>1 1/4”Ø bore x 3/8" keyway</t>
  </si>
  <si>
    <t>1 1/2”Ø bore x 3/8" keyway</t>
  </si>
  <si>
    <t>1 3/4”Ø bore x 1/2" keyway</t>
  </si>
  <si>
    <t>2”Ø bore x 1/2" keyway</t>
  </si>
  <si>
    <t>2 1/4”Ø x 1/2" keyway</t>
  </si>
  <si>
    <t>2 1/2”Ø x 1/2" keyway</t>
  </si>
  <si>
    <t>3”Ø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</si>
  <si>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</si>
  <si>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</si>
  <si>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</si>
  <si>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</si>
  <si>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</si>
  <si>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</si>
  <si>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</si>
  <si>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</si>
  <si>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</si>
  <si>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</si>
  <si>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</si>
  <si>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</si>
  <si>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</si>
  <si>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</si>
  <si>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</si>
  <si>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</si>
  <si>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</si>
  <si>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</si>
  <si>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</si>
  <si>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</si>
  <si>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</si>
  <si>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</si>
  <si>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</si>
  <si>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</si>
  <si>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</si>
  <si>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</si>
  <si>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</si>
  <si>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</si>
  <si>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</si>
  <si>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</si>
  <si>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</si>
  <si>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</si>
  <si>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</si>
  <si>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</si>
  <si>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</si>
  <si>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</si>
  <si>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</si>
  <si>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</si>
  <si>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</si>
  <si>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</si>
  <si>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</si>
  <si>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</si>
  <si>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</si>
  <si>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</si>
  <si>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</si>
  <si>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</si>
  <si>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</si>
  <si>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</si>
  <si>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</si>
  <si>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</si>
  <si>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</si>
  <si>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</si>
  <si>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</si>
  <si>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</si>
  <si>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</si>
  <si>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</si>
  <si>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</si>
  <si>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</si>
  <si>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</si>
  <si>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</si>
  <si>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</si>
  <si>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</si>
  <si>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</si>
  <si>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</si>
  <si>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</si>
  <si>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</si>
  <si>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</si>
  <si>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</si>
  <si>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</si>
  <si>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</si>
  <si>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</si>
  <si>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</si>
  <si>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</si>
  <si>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</si>
  <si>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</si>
  <si>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</si>
  <si>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</si>
  <si>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</si>
  <si>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</si>
  <si>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</si>
  <si>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</si>
  <si>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</si>
  <si>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</si>
  <si>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</si>
  <si>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</si>
  <si>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</si>
  <si>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</si>
  <si>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</si>
  <si>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</si>
  <si>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</si>
  <si>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</si>
  <si>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</si>
  <si>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</si>
  <si>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</si>
  <si>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</si>
  <si>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</si>
  <si>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</si>
  <si>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</si>
  <si>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</si>
  <si>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</si>
  <si>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</si>
  <si>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</si>
  <si>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</si>
  <si>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</si>
  <si>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</si>
  <si>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</si>
  <si>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</si>
  <si>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</si>
  <si>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</si>
  <si>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</si>
  <si>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</si>
  <si>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</si>
  <si>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</si>
  <si>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</si>
  <si>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</si>
  <si>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Flange Mounted</t>
  </si>
  <si>
    <t>Blower Type</t>
  </si>
  <si>
    <t>Make</t>
  </si>
  <si>
    <t>Customized</t>
  </si>
  <si>
    <t>Client Design</t>
  </si>
  <si>
    <t>(</t>
  </si>
  <si>
    <t>)</t>
  </si>
  <si>
    <t xml:space="preserve">Standard </t>
  </si>
  <si>
    <t>pc.</t>
  </si>
  <si>
    <t>_______________________________________________________________________________</t>
  </si>
  <si>
    <t>_____________________________</t>
  </si>
  <si>
    <t>_________________________________</t>
  </si>
  <si>
    <t>_________________________________________________________________________________________</t>
  </si>
  <si>
    <t>Airfoil</t>
  </si>
  <si>
    <t>Ceiling Hung</t>
  </si>
  <si>
    <t>Dual Mounted</t>
  </si>
  <si>
    <t>With Stand</t>
  </si>
  <si>
    <t>CIEB</t>
  </si>
  <si>
    <t>12 o'clock facing discharge</t>
  </si>
  <si>
    <t>9 o'clock facing discharge</t>
  </si>
  <si>
    <t>6 o'clock facing discharge</t>
  </si>
  <si>
    <t>3 o'clock facing discharge</t>
  </si>
  <si>
    <t>Motor Location</t>
  </si>
  <si>
    <t>520 cfm @ 2" w.g.</t>
  </si>
  <si>
    <t>1238 cfm @ 0" w.g.</t>
  </si>
  <si>
    <t>UCF208</t>
  </si>
  <si>
    <t>UCF207</t>
  </si>
  <si>
    <t>UCF205</t>
  </si>
  <si>
    <t>2A</t>
  </si>
  <si>
    <t>AFBM-JO2600068a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</si>
</sst>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 vertical="center" wrapText="1"/>
    </xf>
    <xf numFmtId="12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2" fontId="4" fillId="0" borderId="0" xfId="0" applyNumberFormat="1" applyFont="1" applyAlignment="1">
      <alignment horizontal="right"/>
    </xf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2" fontId="0" fillId="0" borderId="0" xfId="0" applyNumberFormat="1" applyAlignment="1">
      <alignment horizontal="right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239233</xdr:colOff>
      <xdr:row>10</xdr:row>
      <xdr:rowOff>124278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163284</xdr:colOff>
      <xdr:row>20</xdr:row>
      <xdr:rowOff>31748</xdr:rowOff>
    </xdr:from>
    <xdr:to>
      <xdr:col>21</xdr:col>
      <xdr:colOff>10430</xdr:colOff>
      <xdr:row>34</xdr:row>
      <xdr:rowOff>141004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EE330-2876-1BF1-C146-7F57272E5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91" y="3546927"/>
          <a:ext cx="4966607" cy="25934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31" zoomScale="140" zoomScaleNormal="140" workbookViewId="0">
      <selection activeCell="C56" sqref="C56:F56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71" t="s">
        <v>179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</row>
    <row r="13" spans="1:23">
      <c r="A13" t="s">
        <v>172</v>
      </c>
      <c r="B13" t="s">
        <v>18</v>
      </c>
      <c r="D13" s="54" t="str">
        <f>Source!B66</f>
        <v>AFBM-JO2600068a</v>
      </c>
      <c r="E13" s="55"/>
      <c r="F13" s="55"/>
      <c r="G13" s="55"/>
      <c r="H13" s="55"/>
      <c r="I13" s="55"/>
      <c r="J13" s="55"/>
      <c r="K13" s="55"/>
      <c r="O13" t="s">
        <v>175</v>
      </c>
      <c r="Q13" t="s">
        <v>18</v>
      </c>
      <c r="S13" s="56">
        <f>Source!B65</f>
        <v>46209</v>
      </c>
      <c r="T13" s="56"/>
      <c r="U13" s="56"/>
      <c r="V13" s="56"/>
    </row>
    <row r="14" spans="1:23" ht="5" customHeight="1">
      <c r="C14" s="14" t="s">
        <v>177</v>
      </c>
      <c r="D14" s="5"/>
      <c r="R14" t="s">
        <v>210</v>
      </c>
    </row>
    <row r="15" spans="1:23">
      <c r="A15" t="s">
        <v>173</v>
      </c>
      <c r="B15" t="s">
        <v>18</v>
      </c>
      <c r="C15" s="83">
        <f>Source!B70&amp;" "&amp;Source!B71&amp;"   "&amp;Source!B77&amp;""" Ø   "&amp;Source!B67</f>
      </c>
      <c r="F15" s="4">
        <f>Source!B70</f>
        <v>1</v>
      </c>
      <c r="G15" s="4"/>
      <c r="H15" s="57" t="str">
        <f>Source!B71</f>
        <v>pc.</v>
      </c>
      <c r="I15" s="57"/>
      <c r="J15" s="74">
        <f>Source!B77</f>
        <v>10.5</v>
      </c>
      <c r="K15" s="74"/>
      <c r="L15" s="4" t="s">
        <v>189</v>
      </c>
      <c r="M15" s="4"/>
      <c r="N15" s="4" t="str">
        <f>Source!B67</f>
        <v>CIEB</v>
      </c>
      <c r="P15" s="35" t="s">
        <v>204</v>
      </c>
      <c r="Q15" s="84">
        <f>"   ("&amp;Source!B68&amp;")"</f>
      </c>
      <c r="R15" s="36" t="str">
        <f>Source!B68</f>
        <v xml:space="preserve">Standard </v>
      </c>
      <c r="S15" s="36"/>
      <c r="T15" s="36" t="s">
        <v>205</v>
      </c>
    </row>
    <row r="16" spans="1:23" ht="5" customHeight="1">
      <c r="C16" t="s">
        <v>211</v>
      </c>
    </row>
    <row r="17" spans="1:21">
      <c r="A17" t="s">
        <v>176</v>
      </c>
      <c r="C17" s="56">
        <f>Source!B69</f>
        <v>46211</v>
      </c>
      <c r="D17" s="56"/>
      <c r="E17" s="56"/>
      <c r="F17" s="56"/>
      <c r="G17" s="58"/>
      <c r="I17" t="s">
        <v>190</v>
      </c>
      <c r="R17" t="s">
        <v>191</v>
      </c>
    </row>
    <row r="18" spans="1:21" ht="5" customHeight="1">
      <c r="B18" t="s">
        <v>178</v>
      </c>
      <c r="L18" t="s">
        <v>178</v>
      </c>
      <c r="U18" t="s">
        <v>178</v>
      </c>
    </row>
    <row r="20" spans="1:21" ht="20">
      <c r="A20" s="21" t="s">
        <v>180</v>
      </c>
      <c r="F20" s="72" t="s">
        <v>181</v>
      </c>
      <c r="G20" s="72"/>
      <c r="H20" s="73">
        <f>Source!B72</f>
        <v>3</v>
      </c>
      <c r="I20" s="73"/>
      <c r="J20" t="s">
        <v>182</v>
      </c>
      <c r="L20" s="72" t="s">
        <v>181</v>
      </c>
      <c r="M20" s="72"/>
      <c r="N20" s="24">
        <f>Source!B73</f>
        <v>2</v>
      </c>
      <c r="O20" t="s">
        <v>182</v>
      </c>
    </row>
    <row r="21" spans="1:21" ht="5" customHeight="1">
      <c r="A21" s="21"/>
      <c r="F21" s="22"/>
      <c r="G21" s="22"/>
      <c r="H21" t="s">
        <v>183</v>
      </c>
      <c r="I21" s="23"/>
      <c r="L21" s="22"/>
      <c r="M21" s="22"/>
      <c r="N21" t="s">
        <v>183</v>
      </c>
      <c r="O21" s="23"/>
    </row>
    <row r="31" spans="1:21">
      <c r="M31" t="s">
        <v>23</v>
      </c>
    </row>
    <row r="36" spans="1:24" ht="18" customHeight="1">
      <c r="A36" s="1" t="s">
        <v>0</v>
      </c>
      <c r="B36" s="1" t="s">
        <v>18</v>
      </c>
      <c r="C36" s="59" t="str">
        <f>Source!B78</f>
        <v>Foot Mounted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0" t="s">
        <v>17</v>
      </c>
      <c r="P36" s="60"/>
      <c r="Q36" s="4" t="s">
        <v>18</v>
      </c>
      <c r="R36" s="59" t="str">
        <f>Source!B80</f>
        <v>Backwardly Inclined</v>
      </c>
      <c r="S36" s="69"/>
      <c r="T36" s="69"/>
      <c r="U36" s="69"/>
      <c r="V36" s="69"/>
      <c r="W36" s="5"/>
      <c r="X36" s="4"/>
    </row>
    <row r="37" spans="1:24" ht="5" customHeight="1">
      <c r="A37" s="2"/>
      <c r="B37" s="2"/>
      <c r="C37" s="4" t="s">
        <v>20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209</v>
      </c>
      <c r="S37" s="4"/>
      <c r="T37" s="4"/>
      <c r="U37" s="4"/>
      <c r="V37" s="4"/>
      <c r="W37" s="4"/>
      <c r="X37" s="4"/>
    </row>
    <row r="38" spans="1:24" ht="18" customHeight="1">
      <c r="A38" s="2" t="s">
        <v>2</v>
      </c>
      <c r="B38" s="1" t="s">
        <v>18</v>
      </c>
      <c r="C38" s="59" t="str">
        <f>Source!B79</f>
        <v>12 o'clock facing discharge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60" t="s">
        <v>19</v>
      </c>
      <c r="P38" s="60"/>
      <c r="Q38" s="4" t="s">
        <v>18</v>
      </c>
      <c r="R38" s="59" t="str">
        <f>Source!B81</f>
        <v>Belt</v>
      </c>
      <c r="S38" s="69"/>
      <c r="T38" s="69"/>
      <c r="U38" s="69"/>
      <c r="V38" s="69"/>
      <c r="W38" s="5"/>
      <c r="X38" s="4"/>
    </row>
    <row r="39" spans="1:24" ht="5" customHeight="1">
      <c r="A39" s="2"/>
      <c r="B39" s="2"/>
      <c r="C39" s="4" t="s">
        <v>20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209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18</v>
      </c>
      <c r="C40" s="83">
        <f>Source!B82</f>
      </c>
      <c r="D40" s="64"/>
      <c r="E40" s="64"/>
      <c r="F40" s="64"/>
      <c r="G40" s="64"/>
      <c r="H40" s="64"/>
      <c r="I40" s="64"/>
      <c r="J40" s="4"/>
      <c r="K40" s="65" t="str">
        <f>Source!B83</f>
        <v>1238 cfm @ 0" w.g.</v>
      </c>
      <c r="L40" s="64"/>
      <c r="M40" s="84">
        <f>" "&amp;Source!B83</f>
      </c>
      <c r="N40" s="64"/>
      <c r="O40" s="64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208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18</v>
      </c>
      <c r="C42" s="83">
        <f>Source!B84&amp;" rpm"</f>
      </c>
      <c r="D42" s="60"/>
      <c r="E42" s="60"/>
      <c r="F42" s="4" t="s">
        <v>53</v>
      </c>
      <c r="G42" s="4"/>
      <c r="H42" s="4"/>
      <c r="I42" s="66">
        <f>ROUNDUP(Source!D76, 0)</f>
        <v>2288</v>
      </c>
      <c r="J42" s="60"/>
      <c r="K42" s="9" t="s">
        <v>53</v>
      </c>
      <c r="L42" s="4"/>
      <c r="M42" s="84">
        <f>" "&amp;ROUNDUP(Source!D76,0)&amp;" rpm"</f>
      </c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208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18</v>
      </c>
      <c r="C44" s="41">
        <f>Source!D87</f>
        <v>3</v>
      </c>
      <c r="D44" s="3" t="s">
        <v>63</v>
      </c>
      <c r="E44" s="3">
        <f>Source!D88</f>
        <v>3</v>
      </c>
      <c r="F44" s="3" t="s">
        <v>64</v>
      </c>
      <c r="G44" s="59">
        <f>Source!B90</f>
        <v>220</v>
      </c>
      <c r="H44" s="59"/>
      <c r="I44" s="3" t="s">
        <v>65</v>
      </c>
      <c r="J44" s="3">
        <f>Source!B91</f>
        <v>60</v>
      </c>
      <c r="K44" s="3" t="s">
        <v>66</v>
      </c>
      <c r="L44" s="3">
        <f>Source!D90</f>
        <v>4</v>
      </c>
      <c r="M44" s="3" t="s">
        <v>67</v>
      </c>
      <c r="N44" s="3">
        <f>Source!D89</f>
        <v>1716</v>
      </c>
      <c r="O44" s="3" t="s">
        <v>68</v>
      </c>
      <c r="P44" s="59" t="str">
        <f>Source!B92</f>
        <v>Flange Mounted</v>
      </c>
      <c r="Q44" s="59"/>
      <c r="R44" s="59"/>
      <c r="S44" s="59"/>
      <c r="T44" s="4" t="s">
        <v>71</v>
      </c>
      <c r="U44" s="3" t="str">
        <f>Source!B87</f>
        <v>Hyundai</v>
      </c>
      <c r="V44" s="3" t="str">
        <f>Source!B93</f>
        <v>TEFC</v>
      </c>
    </row>
    <row r="45" spans="1:24" ht="5" customHeight="1">
      <c r="A45" s="2"/>
      <c r="B45" s="2"/>
      <c r="C45" s="4" t="s">
        <v>208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18</v>
      </c>
      <c r="C46" s="83">
        <f>TRIM(TEXT(Source!B96,"# ?/?"))&amp;""" Ø x "&amp;Source!D93&amp;" x "&amp;Source!D91&amp;" mm Ø bore x "&amp;Source!D92&amp;" mm keyway"</f>
      </c>
      <c r="D46" s="70"/>
      <c r="E46" s="59" t="s">
        <v>74</v>
      </c>
      <c r="F46" s="59"/>
      <c r="G46" s="59" t="str">
        <f>Source!D93</f>
        <v>2B</v>
      </c>
      <c r="H46" s="69"/>
      <c r="I46" s="3" t="s">
        <v>72</v>
      </c>
      <c r="J46" s="3">
        <f>Source!D91</f>
        <v>28</v>
      </c>
      <c r="K46" s="59" t="s">
        <v>75</v>
      </c>
      <c r="L46" s="59"/>
      <c r="M46" s="59"/>
      <c r="N46" s="3" t="s">
        <v>72</v>
      </c>
      <c r="O46" s="3">
        <f>Source!D92</f>
        <v>8</v>
      </c>
      <c r="P46" s="59" t="s">
        <v>73</v>
      </c>
      <c r="Q46" s="84">
        <f>" "&amp;Source!D94&amp;" mm Ø Hub"</f>
      </c>
      <c r="R46" s="59"/>
      <c r="S46" s="4"/>
      <c r="T46" s="4"/>
      <c r="U46" s="16">
        <f>Source!D94</f>
        <v>64</v>
      </c>
      <c r="V46" s="15" t="s">
        <v>192</v>
      </c>
      <c r="X46" s="4"/>
    </row>
    <row r="47" spans="1:24" ht="5" customHeight="1">
      <c r="A47" s="2"/>
      <c r="B47" s="2"/>
      <c r="C47" s="4" t="s">
        <v>208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18</v>
      </c>
      <c r="C48" s="83">
        <f>TRIM(TEXT(Source!B97,"# ?/?"))&amp;""" Ø x "&amp;Source!D93&amp;" x "&amp;Source!D80</f>
      </c>
      <c r="D48" s="67"/>
      <c r="E48" s="59" t="s">
        <v>74</v>
      </c>
      <c r="F48" s="59"/>
      <c r="G48" s="59" t="str">
        <f>Source!D93</f>
        <v>2B</v>
      </c>
      <c r="H48" s="69"/>
      <c r="I48" s="3" t="s">
        <v>72</v>
      </c>
      <c r="J48" s="68" t="str">
        <f>Source!D80</f>
        <v>1”Ø bore x 5/16" keyway</v>
      </c>
      <c r="K48" s="63"/>
      <c r="L48" s="63"/>
      <c r="M48" s="63"/>
      <c r="N48" s="63"/>
      <c r="O48" s="63"/>
      <c r="P48" s="63"/>
      <c r="Q48" s="84">
        <f>" "&amp;Source!D95&amp;" mm Ø Hub"</f>
      </c>
      <c r="R48" s="63"/>
      <c r="S48" s="4"/>
      <c r="T48" s="4"/>
      <c r="U48" s="20">
        <f>Source!D95</f>
        <v>62</v>
      </c>
      <c r="V48" s="15" t="s">
        <v>192</v>
      </c>
      <c r="W48" s="14"/>
      <c r="X48" s="4"/>
    </row>
    <row r="49" spans="1:24" ht="5" customHeight="1">
      <c r="A49" s="2"/>
      <c r="B49" s="2"/>
      <c r="C49" s="4" t="s">
        <v>208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18</v>
      </c>
      <c r="C50" s="59" t="str">
        <f>Source!D79</f>
        <v>2” Ø x 2” L x 1"Ø bore x 5/16” keyway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208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18</v>
      </c>
      <c r="D52" s="62" t="str">
        <f>Source!D80</f>
        <v>1”Ø bore x 5/16" keyway</v>
      </c>
      <c r="E52" s="63"/>
      <c r="F52" s="63"/>
      <c r="G52" s="63"/>
      <c r="H52" s="63"/>
      <c r="I52" s="63"/>
      <c r="J52" s="63"/>
      <c r="K52" s="63"/>
      <c r="L52" s="63"/>
      <c r="M52" s="6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208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18</v>
      </c>
      <c r="C54" s="60"/>
      <c r="D54" s="61"/>
      <c r="E54" s="61"/>
      <c r="F54" s="61"/>
      <c r="G54" s="61"/>
      <c r="H54" s="61"/>
      <c r="I54" s="6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208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18</v>
      </c>
      <c r="C56" s="83">
        <f>Source!D78&amp;"  --"</f>
      </c>
      <c r="D56" s="59"/>
      <c r="E56" s="59"/>
      <c r="F56" s="59"/>
      <c r="G56" s="4"/>
      <c r="H56" s="4"/>
      <c r="I56" s="4"/>
      <c r="J56" s="10" t="s">
        <v>57</v>
      </c>
      <c r="K56" s="9">
        <f>SUM(Source!B70)*2</f>
        <v>2</v>
      </c>
      <c r="L56" s="9" t="s">
        <v>56</v>
      </c>
      <c r="M56" s="84">
        <f>" "&amp;SUM(Source!B70)*2&amp;" pcs"</f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208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53" t="s">
        <v>24</v>
      </c>
      <c r="T58" s="53"/>
      <c r="U58" s="53"/>
      <c r="V58" s="53"/>
      <c r="W58" s="53"/>
    </row>
    <row r="59" spans="1:24">
      <c r="W59" s="23"/>
    </row>
  </sheetData>
  <sheetProtection selectLockedCells="1" selectUnlockedCells="1"/>
  <mergeCells count="31">
    <mergeCell ref="A12:W12"/>
    <mergeCell ref="F20:G20"/>
    <mergeCell ref="H20:I20"/>
    <mergeCell ref="L20:M20"/>
    <mergeCell ref="O36:P36"/>
    <mergeCell ref="C36:N36"/>
    <mergeCell ref="C38:N38"/>
    <mergeCell ref="R36:V36"/>
    <mergeCell ref="R38:V38"/>
    <mergeCell ref="G44:H44"/>
    <mergeCell ref="S58:W58"/>
    <mergeCell ref="D13:K13"/>
    <mergeCell ref="S13:V13"/>
    <mergeCell ref="C17:G17"/>
    <mergeCell ref="C54:I54"/>
    <mergeCell ref="D52:M52"/>
    <mergeCell ref="C50:P50"/>
    <mergeCell ref="O38:P38"/>
    <mergeCell ref="P44:S44"/>
    <mergeCell ref="C15:P15"/>
    <mergeCell ref="Q15:V15"/>
    <mergeCell ref="C40:L40"/>
    <mergeCell ref="M40:V40"/>
    <mergeCell ref="C42:L42"/>
    <mergeCell ref="M42:V42"/>
    <mergeCell ref="C46:P46"/>
    <mergeCell ref="Q46:V46"/>
    <mergeCell ref="C48:P48"/>
    <mergeCell ref="Q48:V48"/>
    <mergeCell ref="C56:L56"/>
    <mergeCell ref="M56:V56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tabSelected="1" zoomScale="140" zoomScaleNormal="140" workbookViewId="0">
      <selection activeCell="C71" sqref="C71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 hidden="1">
      <c r="A2" s="75" t="s">
        <v>46</v>
      </c>
      <c r="B2" s="76"/>
      <c r="C2" s="76"/>
      <c r="D2" s="76"/>
      <c r="E2" s="76"/>
      <c r="H2" s="5" t="s">
        <v>93</v>
      </c>
      <c r="I2" s="5" t="s">
        <v>61</v>
      </c>
      <c r="J2" s="5" t="s">
        <v>62</v>
      </c>
      <c r="K2" s="5" t="s">
        <v>151</v>
      </c>
      <c r="L2" s="5" t="s">
        <v>150</v>
      </c>
      <c r="M2" s="5" t="s">
        <v>152</v>
      </c>
      <c r="O2" s="3" t="s">
        <v>97</v>
      </c>
      <c r="P2" s="3" t="s">
        <v>95</v>
      </c>
      <c r="Q2" s="3" t="s">
        <v>43</v>
      </c>
      <c r="R2" s="3" t="s">
        <v>44</v>
      </c>
      <c r="S2" s="3" t="s">
        <v>45</v>
      </c>
      <c r="T2" s="3" t="s">
        <v>153</v>
      </c>
      <c r="U2" s="3" t="s">
        <v>154</v>
      </c>
      <c r="V2" s="3" t="s">
        <v>86</v>
      </c>
      <c r="W2" s="3" t="s">
        <v>160</v>
      </c>
    </row>
    <row r="3" spans="1:23" hidden="1">
      <c r="A3" s="3" t="s">
        <v>25</v>
      </c>
      <c r="B3" s="3" t="s">
        <v>28</v>
      </c>
      <c r="C3" s="3" t="s">
        <v>29</v>
      </c>
      <c r="D3" s="3" t="s">
        <v>8</v>
      </c>
      <c r="E3" s="3" t="s">
        <v>10</v>
      </c>
      <c r="F3" s="3" t="s">
        <v>170</v>
      </c>
      <c r="H3" s="3" t="s">
        <v>61</v>
      </c>
      <c r="I3" s="5" t="s">
        <v>151</v>
      </c>
      <c r="J3" s="5" t="s">
        <v>152</v>
      </c>
      <c r="K3" s="17" t="s">
        <v>99</v>
      </c>
      <c r="L3" s="17" t="s">
        <v>107</v>
      </c>
      <c r="M3" s="17" t="s">
        <v>130</v>
      </c>
      <c r="P3" s="17" t="s">
        <v>99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161</v>
      </c>
    </row>
    <row r="4" spans="1:23" hidden="1">
      <c r="A4" s="3">
        <v>9</v>
      </c>
      <c r="B4" s="3" t="s">
        <v>76</v>
      </c>
      <c r="C4" s="4" t="s">
        <v>47</v>
      </c>
      <c r="D4" s="4" t="s">
        <v>33</v>
      </c>
      <c r="E4" s="3" t="s">
        <v>226</v>
      </c>
      <c r="F4" s="5">
        <v>1</v>
      </c>
      <c r="H4" s="3" t="s">
        <v>62</v>
      </c>
      <c r="I4" s="5" t="s">
        <v>150</v>
      </c>
      <c r="J4" s="3"/>
      <c r="K4" s="18" t="s">
        <v>100</v>
      </c>
      <c r="L4" s="18" t="s">
        <v>108</v>
      </c>
      <c r="M4" s="18" t="s">
        <v>131</v>
      </c>
      <c r="P4" s="18" t="s">
        <v>100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161</v>
      </c>
    </row>
    <row r="5" spans="1:23" hidden="1">
      <c r="A5" s="3">
        <v>10.5</v>
      </c>
      <c r="B5" s="3" t="s">
        <v>76</v>
      </c>
      <c r="C5" s="4" t="s">
        <v>47</v>
      </c>
      <c r="D5" s="4" t="s">
        <v>33</v>
      </c>
      <c r="E5" s="3" t="s">
        <v>226</v>
      </c>
      <c r="F5" s="5">
        <v>1</v>
      </c>
      <c r="H5" s="3"/>
      <c r="I5" s="3"/>
      <c r="J5" s="3"/>
      <c r="K5" s="18" t="s">
        <v>101</v>
      </c>
      <c r="L5" s="18" t="s">
        <v>109</v>
      </c>
      <c r="M5" s="18" t="s">
        <v>132</v>
      </c>
      <c r="P5" s="18" t="s">
        <v>101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161</v>
      </c>
    </row>
    <row r="6" spans="1:23" hidden="1">
      <c r="A6" s="3">
        <v>12.25</v>
      </c>
      <c r="B6" s="7" t="s">
        <v>77</v>
      </c>
      <c r="C6" s="8" t="s">
        <v>84</v>
      </c>
      <c r="D6" s="4" t="s">
        <v>34</v>
      </c>
      <c r="E6" s="3" t="s">
        <v>225</v>
      </c>
      <c r="F6" s="43">
        <v>1.25</v>
      </c>
      <c r="H6" s="3"/>
      <c r="I6" s="3"/>
      <c r="J6" s="3"/>
      <c r="K6" s="18" t="s">
        <v>102</v>
      </c>
      <c r="L6" s="18" t="s">
        <v>110</v>
      </c>
      <c r="M6" s="18" t="s">
        <v>133</v>
      </c>
      <c r="P6" s="18" t="s">
        <v>102</v>
      </c>
      <c r="Q6" s="3">
        <v>1750</v>
      </c>
      <c r="R6" s="3">
        <v>24</v>
      </c>
      <c r="S6" s="3">
        <v>8</v>
      </c>
      <c r="T6" s="39">
        <v>1</v>
      </c>
      <c r="U6" s="3">
        <v>1</v>
      </c>
      <c r="V6" s="3">
        <v>4</v>
      </c>
      <c r="W6" s="5" t="s">
        <v>161</v>
      </c>
    </row>
    <row r="7" spans="1:23" hidden="1">
      <c r="A7" s="3">
        <v>13.5</v>
      </c>
      <c r="B7" s="7" t="s">
        <v>77</v>
      </c>
      <c r="C7" s="8" t="s">
        <v>84</v>
      </c>
      <c r="D7" s="4" t="s">
        <v>34</v>
      </c>
      <c r="E7" s="3" t="s">
        <v>225</v>
      </c>
      <c r="F7" s="43">
        <v>1.25</v>
      </c>
      <c r="H7" s="3"/>
      <c r="I7" s="3"/>
      <c r="J7" s="3"/>
      <c r="K7" s="18" t="s">
        <v>103</v>
      </c>
      <c r="L7" s="18" t="s">
        <v>111</v>
      </c>
      <c r="M7" s="18" t="s">
        <v>134</v>
      </c>
      <c r="P7" s="18" t="s">
        <v>103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162</v>
      </c>
    </row>
    <row r="8" spans="1:23" hidden="1">
      <c r="A8" s="3">
        <v>15</v>
      </c>
      <c r="B8" s="7" t="s">
        <v>77</v>
      </c>
      <c r="C8" s="8" t="s">
        <v>84</v>
      </c>
      <c r="D8" s="4" t="s">
        <v>34</v>
      </c>
      <c r="E8" s="3" t="s">
        <v>225</v>
      </c>
      <c r="F8" s="43">
        <v>1.25</v>
      </c>
      <c r="H8" s="3"/>
      <c r="I8" s="3"/>
      <c r="J8" s="3"/>
      <c r="K8" s="18" t="s">
        <v>104</v>
      </c>
      <c r="L8" s="18" t="s">
        <v>112</v>
      </c>
      <c r="M8" s="18" t="s">
        <v>135</v>
      </c>
      <c r="P8" s="18" t="s">
        <v>104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162</v>
      </c>
    </row>
    <row r="9" spans="1:23" hidden="1">
      <c r="A9" s="3">
        <v>16.5</v>
      </c>
      <c r="B9" s="7" t="s">
        <v>77</v>
      </c>
      <c r="C9" s="8" t="s">
        <v>84</v>
      </c>
      <c r="D9" s="4" t="s">
        <v>34</v>
      </c>
      <c r="E9" s="3" t="s">
        <v>225</v>
      </c>
      <c r="F9" s="43">
        <v>1.25</v>
      </c>
      <c r="H9" s="3"/>
      <c r="I9" s="3"/>
      <c r="J9" s="3"/>
      <c r="K9" s="18" t="s">
        <v>105</v>
      </c>
      <c r="L9" s="18" t="s">
        <v>113</v>
      </c>
      <c r="M9" s="18" t="s">
        <v>136</v>
      </c>
      <c r="P9" s="18" t="s">
        <v>105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162</v>
      </c>
    </row>
    <row r="10" spans="1:23" hidden="1">
      <c r="A10" s="3">
        <v>18.25</v>
      </c>
      <c r="B10" s="7" t="s">
        <v>77</v>
      </c>
      <c r="C10" s="8" t="s">
        <v>84</v>
      </c>
      <c r="D10" s="4" t="s">
        <v>34</v>
      </c>
      <c r="E10" s="3" t="s">
        <v>225</v>
      </c>
      <c r="F10" s="43">
        <v>1.25</v>
      </c>
      <c r="H10" s="3"/>
      <c r="I10" s="3"/>
      <c r="J10" s="3"/>
      <c r="K10" s="18" t="s">
        <v>106</v>
      </c>
      <c r="L10" s="18" t="s">
        <v>114</v>
      </c>
      <c r="M10" s="18" t="s">
        <v>137</v>
      </c>
      <c r="P10" s="18" t="s">
        <v>106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162</v>
      </c>
    </row>
    <row r="11" spans="1:23" hidden="1">
      <c r="A11" s="3">
        <v>20</v>
      </c>
      <c r="B11" s="7" t="s">
        <v>77</v>
      </c>
      <c r="C11" s="8" t="s">
        <v>84</v>
      </c>
      <c r="D11" s="4" t="s">
        <v>34</v>
      </c>
      <c r="E11" s="3" t="s">
        <v>225</v>
      </c>
      <c r="F11" s="43">
        <v>1.25</v>
      </c>
      <c r="H11" s="3"/>
      <c r="I11" s="3"/>
      <c r="J11" s="3"/>
      <c r="K11" s="3"/>
      <c r="L11" s="18" t="s">
        <v>115</v>
      </c>
      <c r="M11" s="18" t="s">
        <v>138</v>
      </c>
      <c r="O11" s="3" t="s">
        <v>96</v>
      </c>
      <c r="P11" s="17" t="s">
        <v>107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161</v>
      </c>
    </row>
    <row r="12" spans="1:23" hidden="1">
      <c r="A12" s="3">
        <v>22.25</v>
      </c>
      <c r="B12" s="7" t="s">
        <v>77</v>
      </c>
      <c r="C12" s="8" t="s">
        <v>84</v>
      </c>
      <c r="D12" s="4" t="s">
        <v>34</v>
      </c>
      <c r="E12" s="3" t="s">
        <v>225</v>
      </c>
      <c r="F12" s="43">
        <v>1.25</v>
      </c>
      <c r="H12" s="3"/>
      <c r="I12" s="3"/>
      <c r="J12" s="3"/>
      <c r="K12" s="3"/>
      <c r="L12" s="18" t="s">
        <v>116</v>
      </c>
      <c r="M12" s="18" t="s">
        <v>139</v>
      </c>
      <c r="P12" s="18" t="s">
        <v>108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227</v>
      </c>
    </row>
    <row r="13" spans="1:23" hidden="1">
      <c r="A13" s="3">
        <v>24.5</v>
      </c>
      <c r="B13" s="7" t="s">
        <v>78</v>
      </c>
      <c r="C13" s="4" t="s">
        <v>40</v>
      </c>
      <c r="D13" s="4" t="s">
        <v>35</v>
      </c>
      <c r="E13" s="3" t="s">
        <v>224</v>
      </c>
      <c r="F13" s="43">
        <v>1.5</v>
      </c>
      <c r="H13" s="3"/>
      <c r="I13" s="3"/>
      <c r="J13" s="3"/>
      <c r="K13" s="3"/>
      <c r="L13" s="18" t="s">
        <v>117</v>
      </c>
      <c r="M13" s="18" t="s">
        <v>140</v>
      </c>
      <c r="P13" s="18" t="s">
        <v>109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162</v>
      </c>
    </row>
    <row r="14" spans="1:23" hidden="1">
      <c r="A14" s="3">
        <v>27</v>
      </c>
      <c r="B14" s="7" t="s">
        <v>78</v>
      </c>
      <c r="C14" s="4" t="s">
        <v>40</v>
      </c>
      <c r="D14" s="4" t="s">
        <v>35</v>
      </c>
      <c r="E14" s="3" t="s">
        <v>11</v>
      </c>
      <c r="F14" s="43">
        <v>1.5</v>
      </c>
      <c r="H14" s="3"/>
      <c r="I14" s="3"/>
      <c r="J14" s="3"/>
      <c r="K14" s="3"/>
      <c r="L14" s="18" t="s">
        <v>118</v>
      </c>
      <c r="M14" s="18" t="s">
        <v>141</v>
      </c>
      <c r="P14" s="18" t="s">
        <v>110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162</v>
      </c>
    </row>
    <row r="15" spans="1:23" hidden="1">
      <c r="A15" s="3">
        <v>30</v>
      </c>
      <c r="B15" s="7" t="s">
        <v>79</v>
      </c>
      <c r="C15" s="4" t="s">
        <v>193</v>
      </c>
      <c r="D15" s="4" t="s">
        <v>36</v>
      </c>
      <c r="E15" s="3" t="s">
        <v>12</v>
      </c>
      <c r="F15" s="43">
        <v>1.75</v>
      </c>
      <c r="H15" s="3"/>
      <c r="I15" s="3"/>
      <c r="J15" s="3"/>
      <c r="K15" s="3"/>
      <c r="L15" s="18" t="s">
        <v>119</v>
      </c>
      <c r="M15" s="18" t="s">
        <v>142</v>
      </c>
      <c r="P15" s="18" t="s">
        <v>111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162</v>
      </c>
    </row>
    <row r="16" spans="1:23" hidden="1">
      <c r="A16" s="3">
        <v>33</v>
      </c>
      <c r="B16" s="7" t="s">
        <v>80</v>
      </c>
      <c r="C16" s="4" t="s">
        <v>30</v>
      </c>
      <c r="D16" s="4" t="s">
        <v>37</v>
      </c>
      <c r="E16" s="3" t="s">
        <v>13</v>
      </c>
      <c r="F16" s="43">
        <v>2</v>
      </c>
      <c r="H16" s="3"/>
      <c r="I16" s="3"/>
      <c r="J16" s="3"/>
      <c r="K16" s="3"/>
      <c r="L16" s="18" t="s">
        <v>120</v>
      </c>
      <c r="M16" s="18" t="s">
        <v>143</v>
      </c>
      <c r="P16" s="18" t="s">
        <v>112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162</v>
      </c>
    </row>
    <row r="17" spans="1:23" hidden="1">
      <c r="A17" s="3">
        <v>36.5</v>
      </c>
      <c r="B17" s="7" t="s">
        <v>80</v>
      </c>
      <c r="C17" s="4" t="s">
        <v>30</v>
      </c>
      <c r="D17" s="4" t="s">
        <v>37</v>
      </c>
      <c r="E17" s="3" t="s">
        <v>13</v>
      </c>
      <c r="F17" s="43">
        <v>2</v>
      </c>
      <c r="H17" s="3"/>
      <c r="I17" s="3"/>
      <c r="J17" s="3"/>
      <c r="K17" s="3"/>
      <c r="L17" s="18" t="s">
        <v>121</v>
      </c>
      <c r="M17" s="18" t="s">
        <v>144</v>
      </c>
      <c r="P17" s="18" t="s">
        <v>113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162</v>
      </c>
    </row>
    <row r="18" spans="1:23" hidden="1">
      <c r="A18" s="3">
        <v>40.25</v>
      </c>
      <c r="B18" s="7" t="s">
        <v>81</v>
      </c>
      <c r="C18" s="4" t="s">
        <v>90</v>
      </c>
      <c r="D18" s="42" t="s">
        <v>81</v>
      </c>
      <c r="E18" s="3" t="s">
        <v>14</v>
      </c>
      <c r="F18" s="43">
        <v>2.25</v>
      </c>
      <c r="H18" s="3"/>
      <c r="I18" s="3"/>
      <c r="J18" s="3"/>
      <c r="K18" s="3"/>
      <c r="L18" s="18" t="s">
        <v>122</v>
      </c>
      <c r="M18" s="18" t="s">
        <v>145</v>
      </c>
      <c r="P18" s="18" t="s">
        <v>114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163</v>
      </c>
    </row>
    <row r="19" spans="1:23" hidden="1">
      <c r="A19" s="3">
        <v>44.5</v>
      </c>
      <c r="B19" s="7" t="s">
        <v>81</v>
      </c>
      <c r="C19" s="4" t="s">
        <v>90</v>
      </c>
      <c r="D19" s="42" t="s">
        <v>81</v>
      </c>
      <c r="E19" s="3" t="s">
        <v>14</v>
      </c>
      <c r="F19" s="43">
        <v>2.25</v>
      </c>
      <c r="H19" s="3"/>
      <c r="I19" s="3"/>
      <c r="J19" s="3"/>
      <c r="K19" s="3"/>
      <c r="L19" s="18" t="s">
        <v>123</v>
      </c>
      <c r="M19" s="18" t="s">
        <v>146</v>
      </c>
      <c r="P19" s="18" t="s">
        <v>115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163</v>
      </c>
    </row>
    <row r="20" spans="1:23" hidden="1">
      <c r="A20" s="3">
        <v>49</v>
      </c>
      <c r="B20" s="7" t="s">
        <v>82</v>
      </c>
      <c r="C20" s="4" t="s">
        <v>31</v>
      </c>
      <c r="D20" s="4" t="s">
        <v>38</v>
      </c>
      <c r="E20" s="3" t="s">
        <v>15</v>
      </c>
      <c r="F20" s="43">
        <v>2.5</v>
      </c>
      <c r="H20" s="3"/>
      <c r="I20" s="3"/>
      <c r="J20" s="3"/>
      <c r="K20" s="3"/>
      <c r="L20" s="18" t="s">
        <v>124</v>
      </c>
      <c r="M20" s="18" t="s">
        <v>147</v>
      </c>
      <c r="P20" s="18" t="s">
        <v>116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164</v>
      </c>
    </row>
    <row r="21" spans="1:23" hidden="1">
      <c r="A21" s="3">
        <v>54.5</v>
      </c>
      <c r="B21" s="7" t="s">
        <v>82</v>
      </c>
      <c r="C21" s="4" t="s">
        <v>31</v>
      </c>
      <c r="D21" s="4" t="s">
        <v>38</v>
      </c>
      <c r="E21" s="3" t="s">
        <v>15</v>
      </c>
      <c r="F21" s="43">
        <v>2.5</v>
      </c>
      <c r="H21" s="3"/>
      <c r="I21" s="3"/>
      <c r="J21" s="3"/>
      <c r="K21" s="3"/>
      <c r="L21" s="18" t="s">
        <v>125</v>
      </c>
      <c r="M21" s="18" t="s">
        <v>148</v>
      </c>
      <c r="P21" s="18" t="s">
        <v>117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164</v>
      </c>
    </row>
    <row r="22" spans="1:23" hidden="1">
      <c r="A22" s="3">
        <v>60</v>
      </c>
      <c r="B22" s="7" t="s">
        <v>83</v>
      </c>
      <c r="C22" s="4" t="s">
        <v>32</v>
      </c>
      <c r="D22" s="4" t="s">
        <v>39</v>
      </c>
      <c r="E22" s="3" t="s">
        <v>16</v>
      </c>
      <c r="F22" s="43">
        <v>3</v>
      </c>
      <c r="H22" s="3"/>
      <c r="I22" s="3"/>
      <c r="J22" s="3"/>
      <c r="K22" s="3"/>
      <c r="L22" s="18" t="s">
        <v>126</v>
      </c>
      <c r="M22" s="18" t="s">
        <v>194</v>
      </c>
      <c r="P22" s="18" t="s">
        <v>118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165</v>
      </c>
    </row>
    <row r="23" spans="1:23" hidden="1">
      <c r="A23" s="3">
        <v>66</v>
      </c>
      <c r="B23" s="7" t="s">
        <v>83</v>
      </c>
      <c r="C23" s="4" t="s">
        <v>32</v>
      </c>
      <c r="D23" s="4" t="s">
        <v>39</v>
      </c>
      <c r="E23" s="3" t="s">
        <v>16</v>
      </c>
      <c r="F23" s="43">
        <v>3</v>
      </c>
      <c r="H23" s="3"/>
      <c r="I23" s="3"/>
      <c r="J23" s="3"/>
      <c r="K23" s="3"/>
      <c r="L23" s="18" t="s">
        <v>127</v>
      </c>
      <c r="M23" s="18" t="s">
        <v>149</v>
      </c>
      <c r="P23" s="18" t="s">
        <v>119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166</v>
      </c>
    </row>
    <row r="24" spans="1:23" hidden="1">
      <c r="A24" s="3">
        <v>73</v>
      </c>
      <c r="B24" s="7" t="s">
        <v>83</v>
      </c>
      <c r="C24" s="4" t="s">
        <v>32</v>
      </c>
      <c r="D24" s="4" t="s">
        <v>39</v>
      </c>
      <c r="E24" s="3" t="s">
        <v>16</v>
      </c>
      <c r="F24" s="43">
        <v>3</v>
      </c>
      <c r="H24" s="3"/>
      <c r="I24" s="3"/>
      <c r="J24" s="3"/>
      <c r="K24" s="3"/>
      <c r="L24" s="18" t="s">
        <v>128</v>
      </c>
      <c r="M24" s="18" t="s">
        <v>195</v>
      </c>
      <c r="P24" s="18" t="s">
        <v>120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167</v>
      </c>
    </row>
    <row r="25" spans="1:23" hidden="1">
      <c r="A25" s="3">
        <v>83</v>
      </c>
      <c r="B25" s="7" t="s">
        <v>83</v>
      </c>
      <c r="C25" s="4" t="s">
        <v>32</v>
      </c>
      <c r="D25" s="4" t="s">
        <v>39</v>
      </c>
      <c r="E25" s="3" t="s">
        <v>16</v>
      </c>
      <c r="F25" s="43">
        <v>3</v>
      </c>
      <c r="H25" s="3"/>
      <c r="I25" s="3"/>
      <c r="J25" s="3"/>
      <c r="K25" s="3"/>
      <c r="L25" s="18" t="s">
        <v>129</v>
      </c>
      <c r="M25" s="18" t="s">
        <v>196</v>
      </c>
      <c r="P25" s="18" t="s">
        <v>121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167</v>
      </c>
    </row>
    <row r="26" spans="1:23" hidden="1">
      <c r="H26" s="3"/>
      <c r="I26" s="3"/>
      <c r="J26" s="3"/>
      <c r="K26" s="3"/>
      <c r="L26" s="3"/>
      <c r="M26" s="18"/>
      <c r="P26" s="18" t="s">
        <v>122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167</v>
      </c>
    </row>
    <row r="27" spans="1:23" hidden="1">
      <c r="H27" s="3"/>
      <c r="I27" s="3"/>
      <c r="J27" s="3"/>
      <c r="K27" s="3"/>
      <c r="L27" s="3"/>
      <c r="M27" s="3"/>
      <c r="P27" s="18" t="s">
        <v>123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167</v>
      </c>
    </row>
    <row r="28" spans="1:23" hidden="1">
      <c r="A28" s="6" t="s">
        <v>17</v>
      </c>
      <c r="B28" s="3" t="s">
        <v>201</v>
      </c>
      <c r="H28" s="3"/>
      <c r="I28" s="3"/>
      <c r="J28" s="3"/>
      <c r="K28" s="3"/>
      <c r="L28" s="3"/>
      <c r="M28" s="3"/>
      <c r="P28" s="18" t="s">
        <v>124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167</v>
      </c>
    </row>
    <row r="29" spans="1:23" hidden="1">
      <c r="A29" s="3" t="s">
        <v>41</v>
      </c>
      <c r="B29" s="3" t="s">
        <v>206</v>
      </c>
      <c r="H29" s="3"/>
      <c r="I29" s="3"/>
      <c r="J29" s="3"/>
      <c r="K29" s="3"/>
      <c r="L29" s="3"/>
      <c r="M29" s="3"/>
      <c r="P29" s="18" t="s">
        <v>125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167</v>
      </c>
    </row>
    <row r="30" spans="1:23" hidden="1">
      <c r="A30" s="3" t="s">
        <v>21</v>
      </c>
      <c r="B30" s="3" t="s">
        <v>202</v>
      </c>
      <c r="H30" s="3"/>
      <c r="I30" s="3"/>
      <c r="J30" s="3"/>
      <c r="K30" s="3"/>
      <c r="L30" s="3"/>
      <c r="M30" s="3"/>
      <c r="P30" s="18" t="s">
        <v>126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167</v>
      </c>
    </row>
    <row r="31" spans="1:23" hidden="1">
      <c r="A31" s="3" t="s">
        <v>212</v>
      </c>
      <c r="B31" s="3" t="s">
        <v>203</v>
      </c>
      <c r="H31" s="3"/>
      <c r="I31" s="3"/>
      <c r="J31" s="3"/>
      <c r="K31" s="3"/>
      <c r="L31" s="3"/>
      <c r="M31" s="3"/>
      <c r="P31" s="18" t="s">
        <v>127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167</v>
      </c>
    </row>
    <row r="32" spans="1:23" hidden="1">
      <c r="H32" s="3"/>
      <c r="I32" s="3"/>
      <c r="J32" s="3"/>
      <c r="K32" s="3"/>
      <c r="L32" s="3"/>
      <c r="M32" s="3"/>
      <c r="P32" s="18" t="s">
        <v>128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167</v>
      </c>
    </row>
    <row r="33" spans="1:23" hidden="1">
      <c r="H33" s="3"/>
      <c r="I33" s="3"/>
      <c r="J33" s="3"/>
      <c r="K33" s="3"/>
      <c r="L33" s="3"/>
      <c r="M33" s="3"/>
      <c r="P33" s="18" t="s">
        <v>129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167</v>
      </c>
    </row>
    <row r="34" spans="1:23" hidden="1">
      <c r="A34" s="6" t="s">
        <v>19</v>
      </c>
      <c r="H34" s="3"/>
      <c r="I34" s="3"/>
      <c r="J34" s="3"/>
      <c r="K34" s="3"/>
      <c r="L34" s="3"/>
      <c r="M34" s="3"/>
      <c r="O34" s="3" t="s">
        <v>98</v>
      </c>
      <c r="P34" s="17" t="s">
        <v>130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161</v>
      </c>
    </row>
    <row r="35" spans="1:23" hidden="1">
      <c r="A35" s="3" t="s">
        <v>22</v>
      </c>
      <c r="H35" s="3"/>
      <c r="I35" s="3"/>
      <c r="J35" s="3"/>
      <c r="K35" s="3"/>
      <c r="L35" s="3"/>
      <c r="M35" s="3"/>
      <c r="P35" s="18" t="s">
        <v>131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227</v>
      </c>
    </row>
    <row r="36" spans="1:23" hidden="1">
      <c r="A36" s="3" t="s">
        <v>9</v>
      </c>
      <c r="H36" s="3"/>
      <c r="I36" s="3"/>
      <c r="J36" s="3"/>
      <c r="K36" s="3"/>
      <c r="L36" s="3"/>
      <c r="M36" s="3"/>
      <c r="P36" s="18" t="s">
        <v>132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162</v>
      </c>
    </row>
    <row r="37" spans="1:23" hidden="1">
      <c r="A37" s="3" t="s">
        <v>42</v>
      </c>
      <c r="H37" s="11"/>
      <c r="I37" s="11"/>
      <c r="J37" s="11"/>
      <c r="K37" s="11"/>
      <c r="L37" s="11"/>
      <c r="M37" s="11"/>
      <c r="P37" s="18" t="s">
        <v>133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162</v>
      </c>
    </row>
    <row r="38" spans="1:23" hidden="1">
      <c r="H38" s="3"/>
      <c r="I38" s="3"/>
      <c r="J38" s="3"/>
      <c r="K38" s="3"/>
      <c r="L38" s="3"/>
      <c r="M38" s="3"/>
      <c r="P38" s="18" t="s">
        <v>134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162</v>
      </c>
    </row>
    <row r="39" spans="1:23" hidden="1">
      <c r="H39" s="3"/>
      <c r="I39" s="3"/>
      <c r="J39" s="3"/>
      <c r="K39" s="3"/>
      <c r="L39" s="3"/>
      <c r="M39" s="3"/>
      <c r="P39" s="18" t="s">
        <v>135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162</v>
      </c>
    </row>
    <row r="40" spans="1:23" hidden="1">
      <c r="A40" s="6" t="s">
        <v>27</v>
      </c>
      <c r="B40" s="6" t="s">
        <v>51</v>
      </c>
      <c r="C40" s="6" t="s">
        <v>85</v>
      </c>
      <c r="D40" s="6" t="s">
        <v>86</v>
      </c>
      <c r="E40" s="6" t="s">
        <v>87</v>
      </c>
      <c r="F40" s="6" t="s">
        <v>88</v>
      </c>
      <c r="H40" s="3"/>
      <c r="I40" s="3"/>
      <c r="J40" s="3"/>
      <c r="K40" s="3"/>
      <c r="L40" s="3"/>
      <c r="M40" s="3"/>
      <c r="P40" s="18" t="s">
        <v>136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162</v>
      </c>
    </row>
    <row r="41" spans="1:23" hidden="1">
      <c r="A41" s="3">
        <v>1</v>
      </c>
      <c r="B41" s="3">
        <v>220</v>
      </c>
      <c r="C41" s="3">
        <v>60</v>
      </c>
      <c r="D41" s="3">
        <v>2</v>
      </c>
      <c r="E41" s="4" t="s">
        <v>69</v>
      </c>
      <c r="F41" s="4" t="s">
        <v>70</v>
      </c>
      <c r="H41" s="3"/>
      <c r="I41" s="3"/>
      <c r="J41" s="3"/>
      <c r="K41" s="3"/>
      <c r="L41" s="3"/>
      <c r="M41" s="3"/>
      <c r="P41" s="18" t="s">
        <v>137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163</v>
      </c>
    </row>
    <row r="42" spans="1:23" hidden="1">
      <c r="A42" s="3">
        <v>3</v>
      </c>
      <c r="B42" s="3">
        <v>380</v>
      </c>
      <c r="C42" s="3">
        <v>50</v>
      </c>
      <c r="D42" s="3">
        <v>4</v>
      </c>
      <c r="E42" s="4" t="s">
        <v>199</v>
      </c>
      <c r="F42" s="4" t="s">
        <v>89</v>
      </c>
      <c r="H42" s="3"/>
      <c r="I42" s="3"/>
      <c r="J42" s="3"/>
      <c r="K42" s="3"/>
      <c r="L42" s="3"/>
      <c r="M42" s="3"/>
      <c r="P42" s="18" t="s">
        <v>138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163</v>
      </c>
    </row>
    <row r="43" spans="1:23" hidden="1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139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164</v>
      </c>
    </row>
    <row r="44" spans="1:23" hidden="1">
      <c r="D44" s="3">
        <v>8</v>
      </c>
      <c r="F44" s="4"/>
      <c r="H44" s="4"/>
      <c r="I44" s="4"/>
      <c r="J44" s="4"/>
      <c r="K44" s="4"/>
      <c r="L44" s="4"/>
      <c r="M44" s="4"/>
      <c r="P44" s="18" t="s">
        <v>140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164</v>
      </c>
    </row>
    <row r="45" spans="1:23" hidden="1">
      <c r="D45" s="3"/>
      <c r="F45" s="4"/>
      <c r="P45" s="18" t="s">
        <v>141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165</v>
      </c>
    </row>
    <row r="46" spans="1:23" hidden="1">
      <c r="A46" s="11"/>
      <c r="B46" s="13"/>
      <c r="C46" s="3"/>
      <c r="D46" s="3"/>
      <c r="E46" s="3"/>
      <c r="F46" s="4"/>
      <c r="P46" s="18" t="s">
        <v>142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166</v>
      </c>
    </row>
    <row r="47" spans="1:23" hidden="1">
      <c r="A47" s="12" t="s">
        <v>0</v>
      </c>
      <c r="B47" s="3" t="s">
        <v>200</v>
      </c>
      <c r="C47" s="6" t="s">
        <v>2</v>
      </c>
      <c r="P47" s="18" t="s">
        <v>143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167</v>
      </c>
    </row>
    <row r="48" spans="1:23" hidden="1">
      <c r="A48" s="11" t="s">
        <v>69</v>
      </c>
      <c r="B48" s="3" t="s">
        <v>216</v>
      </c>
      <c r="C48" s="3" t="s">
        <v>217</v>
      </c>
      <c r="P48" s="18" t="s">
        <v>144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167</v>
      </c>
    </row>
    <row r="49" spans="1:24" hidden="1">
      <c r="A49" s="3" t="s">
        <v>213</v>
      </c>
      <c r="C49" s="3" t="s">
        <v>218</v>
      </c>
      <c r="P49" s="18" t="s">
        <v>145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167</v>
      </c>
    </row>
    <row r="50" spans="1:24" hidden="1">
      <c r="A50" s="3" t="s">
        <v>214</v>
      </c>
      <c r="C50" s="3" t="s">
        <v>219</v>
      </c>
      <c r="P50" s="18" t="s">
        <v>146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167</v>
      </c>
    </row>
    <row r="51" spans="1:24" hidden="1">
      <c r="A51" s="3" t="s">
        <v>199</v>
      </c>
      <c r="C51" s="3" t="s">
        <v>220</v>
      </c>
      <c r="P51" s="18" t="s">
        <v>147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167</v>
      </c>
    </row>
    <row r="52" spans="1:24" hidden="1">
      <c r="A52" s="3" t="s">
        <v>215</v>
      </c>
      <c r="P52" s="18" t="s">
        <v>148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167</v>
      </c>
    </row>
    <row r="53" spans="1:24" hidden="1">
      <c r="P53" s="18" t="s">
        <v>194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167</v>
      </c>
    </row>
    <row r="54" spans="1:24" hidden="1">
      <c r="P54" s="18" t="s">
        <v>149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167</v>
      </c>
    </row>
    <row r="55" spans="1:24" hidden="1">
      <c r="P55" s="18" t="s">
        <v>195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167</v>
      </c>
    </row>
    <row r="56" spans="1:24" hidden="1">
      <c r="P56" s="18" t="s">
        <v>196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167</v>
      </c>
    </row>
    <row r="57" spans="1:24" hidden="1"/>
    <row r="58" spans="1:24" hidden="1"/>
    <row r="59" spans="1:24" hidden="1">
      <c r="A59" s="6"/>
    </row>
    <row r="60" spans="1:24" hidden="1"/>
    <row r="61" spans="1:24" hidden="1"/>
    <row r="62" spans="1:24" hidden="1"/>
    <row r="63" spans="1:24" ht="15" thickBot="1">
      <c r="A63" s="33"/>
      <c r="B63" s="33"/>
      <c r="C63" s="37"/>
      <c r="D63" s="37"/>
      <c r="E63" s="37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4"/>
      <c r="U63" s="34"/>
      <c r="V63" s="38"/>
      <c r="W63" s="34"/>
      <c r="X63" s="38"/>
    </row>
    <row r="64" spans="1:24" ht="15" thickBot="1">
      <c r="A64" s="81" t="s">
        <v>187</v>
      </c>
      <c r="B64" s="82"/>
      <c r="C64" s="4" t="s">
        <v>197</v>
      </c>
    </row>
    <row r="65" spans="1:4">
      <c r="A65" s="46" t="s">
        <v>175</v>
      </c>
      <c r="B65" s="52">
        <v>46209</v>
      </c>
      <c r="C65" s="9" t="s">
        <v>198</v>
      </c>
    </row>
    <row r="66" spans="1:4">
      <c r="A66" s="26" t="s">
        <v>184</v>
      </c>
      <c r="B66" s="51" t="s">
        <v>228</v>
      </c>
    </row>
    <row r="67" spans="1:4">
      <c r="A67" s="26" t="s">
        <v>173</v>
      </c>
      <c r="B67" s="31" t="s">
        <v>216</v>
      </c>
    </row>
    <row r="68" spans="1:4">
      <c r="A68" s="26" t="s">
        <v>201</v>
      </c>
      <c r="B68" s="31" t="s">
        <v>206</v>
      </c>
    </row>
    <row r="69" spans="1:4">
      <c r="A69" s="26" t="s">
        <v>174</v>
      </c>
      <c r="B69" s="50">
        <v>46211</v>
      </c>
    </row>
    <row r="70" spans="1:4">
      <c r="A70" s="26" t="s">
        <v>54</v>
      </c>
      <c r="B70" s="31">
        <v>1</v>
      </c>
    </row>
    <row r="71" spans="1:4">
      <c r="A71" s="26" t="s">
        <v>188</v>
      </c>
      <c r="B71" s="31" t="s">
        <v>207</v>
      </c>
    </row>
    <row r="72" spans="1:4">
      <c r="A72" s="26" t="s">
        <v>185</v>
      </c>
      <c r="B72" s="31">
        <v>3</v>
      </c>
    </row>
    <row r="73" spans="1:4" ht="15" thickBot="1">
      <c r="A73" s="27" t="s">
        <v>186</v>
      </c>
      <c r="B73" s="45">
        <v>2</v>
      </c>
    </row>
    <row r="74" spans="1:4" ht="15" thickBot="1"/>
    <row r="75" spans="1:4" ht="15" thickBot="1">
      <c r="A75" s="77" t="s">
        <v>156</v>
      </c>
      <c r="B75" s="78"/>
      <c r="C75" s="79" t="s">
        <v>158</v>
      </c>
      <c r="D75" s="80"/>
    </row>
    <row r="76" spans="1:4">
      <c r="A76" s="46" t="s">
        <v>55</v>
      </c>
      <c r="B76" s="47" t="str">
        <f>VLOOKUP(B67,B67,1)</f>
        <v>CIEB</v>
      </c>
      <c r="C76" s="3" t="s">
        <v>59</v>
      </c>
      <c r="D76" s="3">
        <f>SUM(D89*B96)/B97</f>
        <v>2288</v>
      </c>
    </row>
    <row r="77" spans="1:4">
      <c r="A77" s="25" t="s">
        <v>25</v>
      </c>
      <c r="B77" s="31">
        <v>10.5</v>
      </c>
      <c r="C77" s="11" t="s">
        <v>8</v>
      </c>
      <c r="D77" s="3" t="str">
        <f>VLOOKUP(B77,A4:E25,4)</f>
        <v>1"Ø x 5/16” keyway</v>
      </c>
    </row>
    <row r="78" spans="1:4">
      <c r="A78" s="44" t="s">
        <v>0</v>
      </c>
      <c r="B78" s="31" t="s">
        <v>69</v>
      </c>
      <c r="C78" s="11" t="s">
        <v>10</v>
      </c>
      <c r="D78" s="3" t="str">
        <f>VLOOKUP(B77,A4:E25,5)</f>
        <v>UCF205</v>
      </c>
    </row>
    <row r="79" spans="1:4">
      <c r="A79" s="25" t="s">
        <v>221</v>
      </c>
      <c r="B79" s="31" t="s">
        <v>217</v>
      </c>
      <c r="C79" s="11" t="s">
        <v>7</v>
      </c>
      <c r="D79" s="3" t="str">
        <f>VLOOKUP(B77,A4:E25,3)</f>
        <v>2” Ø x 2” L x 1"Ø bore x 5/16” keyway</v>
      </c>
    </row>
    <row r="80" spans="1:4">
      <c r="A80" s="25" t="s">
        <v>48</v>
      </c>
      <c r="B80" s="31" t="s">
        <v>41</v>
      </c>
      <c r="C80" s="11" t="s">
        <v>8</v>
      </c>
      <c r="D80" s="3" t="str">
        <f>VLOOKUP(B77,A4:E25,2)</f>
        <v>1”Ø bore x 5/16" keyway</v>
      </c>
    </row>
    <row r="81" spans="1:4">
      <c r="A81" s="25" t="s">
        <v>49</v>
      </c>
      <c r="B81" s="31" t="s">
        <v>9</v>
      </c>
      <c r="C81" s="11" t="s">
        <v>171</v>
      </c>
      <c r="D81" s="3">
        <f>VLOOKUP(B77,A4:F25,6)</f>
        <v>1</v>
      </c>
    </row>
    <row r="82" spans="1:4">
      <c r="A82" s="26" t="s">
        <v>3</v>
      </c>
      <c r="B82" s="31" t="s">
        <v>222</v>
      </c>
      <c r="D82" s="3"/>
    </row>
    <row r="83" spans="1:4">
      <c r="A83" s="26" t="s">
        <v>52</v>
      </c>
      <c r="B83" s="31" t="s">
        <v>223</v>
      </c>
      <c r="D83" s="3"/>
    </row>
    <row r="84" spans="1:4" ht="15" thickBot="1">
      <c r="A84" s="27" t="s">
        <v>155</v>
      </c>
      <c r="B84" s="45">
        <v>2221</v>
      </c>
      <c r="D84" s="3"/>
    </row>
    <row r="85" spans="1:4" ht="15" thickBot="1">
      <c r="D85" s="3"/>
    </row>
    <row r="86" spans="1:4" ht="15" thickBot="1">
      <c r="A86" s="77" t="s">
        <v>157</v>
      </c>
      <c r="B86" s="78"/>
      <c r="C86" s="79" t="s">
        <v>159</v>
      </c>
      <c r="D86" s="80"/>
    </row>
    <row r="87" spans="1:4">
      <c r="A87" s="48" t="s">
        <v>60</v>
      </c>
      <c r="B87" s="49" t="s">
        <v>62</v>
      </c>
      <c r="C87" s="11" t="s">
        <v>26</v>
      </c>
      <c r="D87" s="40">
        <f>VLOOKUP(TRIM(B89),P3:W56,5,FALSE)</f>
        <v>3</v>
      </c>
    </row>
    <row r="88" spans="1:4">
      <c r="A88" s="25" t="s">
        <v>94</v>
      </c>
      <c r="B88" s="31" t="s">
        <v>152</v>
      </c>
      <c r="C88" s="11" t="s">
        <v>50</v>
      </c>
      <c r="D88" s="3">
        <f>VLOOKUP(TRIM(B89),P3:W56,6,FALSE)</f>
        <v>3</v>
      </c>
    </row>
    <row r="89" spans="1:4">
      <c r="A89" s="25" t="s">
        <v>26</v>
      </c>
      <c r="B89" s="31" t="s">
        <v>134</v>
      </c>
      <c r="C89" s="3" t="s">
        <v>58</v>
      </c>
      <c r="D89" s="30">
        <f>VLOOKUP(TRIM(B89),P3:W56,2,FALSE)</f>
        <v>1716</v>
      </c>
    </row>
    <row r="90" spans="1:4">
      <c r="A90" s="25" t="s">
        <v>51</v>
      </c>
      <c r="B90" s="31">
        <v>220</v>
      </c>
      <c r="C90" s="3" t="s">
        <v>86</v>
      </c>
      <c r="D90" s="3">
        <f>VLOOKUP(TRIM(B89),P3:W56,7,FALSE)</f>
        <v>4</v>
      </c>
    </row>
    <row r="91" spans="1:4">
      <c r="A91" s="26" t="s">
        <v>85</v>
      </c>
      <c r="B91" s="31">
        <v>60</v>
      </c>
      <c r="C91" s="3" t="s">
        <v>91</v>
      </c>
      <c r="D91" s="3">
        <f>VLOOKUP(TRIM(B89),P3:W56,3,FALSE)</f>
        <v>28</v>
      </c>
    </row>
    <row r="92" spans="1:4">
      <c r="A92" s="26" t="s">
        <v>87</v>
      </c>
      <c r="B92" s="31" t="s">
        <v>199</v>
      </c>
      <c r="C92" s="3" t="s">
        <v>92</v>
      </c>
      <c r="D92" s="3">
        <f>VLOOKUP(TRIM(B89),P3:W56,4,FALSE)</f>
        <v>8</v>
      </c>
    </row>
    <row r="93" spans="1:4">
      <c r="A93" s="26" t="s">
        <v>88</v>
      </c>
      <c r="B93" s="31" t="s">
        <v>70</v>
      </c>
      <c r="C93" s="11" t="s">
        <v>5</v>
      </c>
      <c r="D93" s="3" t="str">
        <f>VLOOKUP(TRIM(B89),P3:W56,8,FALSE)</f>
        <v>2B</v>
      </c>
    </row>
    <row r="94" spans="1:4">
      <c r="A94" s="26" t="s">
        <v>58</v>
      </c>
      <c r="B94" s="29">
        <f>VLOOKUP(D89,D89,1)</f>
        <v>1716</v>
      </c>
      <c r="C94" s="11" t="s">
        <v>168</v>
      </c>
      <c r="D94" s="3">
        <f>SUM(D91)+36</f>
        <v>64</v>
      </c>
    </row>
    <row r="95" spans="1:4">
      <c r="A95" s="26" t="s">
        <v>155</v>
      </c>
      <c r="B95" s="29">
        <f>VLOOKUP(B84,B84,1)</f>
        <v>2221</v>
      </c>
      <c r="C95" s="3" t="s">
        <v>169</v>
      </c>
      <c r="D95" s="3">
        <f>ROUNDUP(SUM(D81*25.4)+36, 0)</f>
        <v>62</v>
      </c>
    </row>
    <row r="96" spans="1:4">
      <c r="A96" s="26" t="s">
        <v>5</v>
      </c>
      <c r="B96" s="32">
        <v>4</v>
      </c>
    </row>
    <row r="97" spans="1:2">
      <c r="A97" s="26" t="s">
        <v>6</v>
      </c>
      <c r="B97" s="32">
        <v>3</v>
      </c>
    </row>
    <row r="98" spans="1:2" ht="15" thickBot="1">
      <c r="A98" s="27" t="s">
        <v>59</v>
      </c>
      <c r="B98" s="28">
        <f>VLOOKUP(D76,D76,1)</f>
        <v>2288</v>
      </c>
    </row>
  </sheetData>
  <sheetProtection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6">
    <dataValidation type="list" allowBlank="1" showInputMessage="1" showErrorMessage="1" sqref="B77" xr:uid="{A015A38D-77AE-4A47-9560-58EC50670803}">
      <formula1>$A$4:$A$25</formula1>
    </dataValidation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$A$48:$A$52</formula1>
    </dataValidation>
    <dataValidation type="list" allowBlank="1" showInputMessage="1" showErrorMessage="1" sqref="B80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B87" xr:uid="{BC83744C-A5D8-4E8D-9C7C-FFEBB8002174}">
      <formula1>Brand</formula1>
    </dataValidation>
    <dataValidation type="list" allowBlank="1" showInputMessage="1" showErrorMessage="1" sqref="B88:B90" xr:uid="{69D76E25-69A5-440E-B683-CA9B91145624}">
      <formula1>INDIRECT(B87)</formula1>
    </dataValidation>
    <dataValidation type="list" allowBlank="1" showInputMessage="1" showErrorMessage="1" sqref="B67" xr:uid="{E285A008-9E8B-4013-BC06-82BEF9ACEE7F}">
      <formula1>$B$48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  <dataValidation type="list" allowBlank="1" showInputMessage="1" showErrorMessage="1" sqref="B79" xr:uid="{8C2A901B-05C5-4B97-8957-3697DFD00FEA}">
      <formula1>$C$48:$C$51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Centrifugal Inline Blower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2026-04-07T07:25:31Z</cp:lastPrinted>
  <dcterms:created xsi:type="dcterms:W3CDTF">2026-03-28T03:07:18Z</dcterms:created>
  <dcterms:modified xsi:type="dcterms:W3CDTF">2026-07-06T05:22:33Z</dcterms:modified>
</cp:coreProperties>
</file>