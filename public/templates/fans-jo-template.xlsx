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<sst xmlns="http://schemas.openxmlformats.org/spreadsheetml/2006/main" count="453" uniqueCount="220">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</sst>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right" vertical="center"/>
    </xf>
    <xf numFmtId="12" fontId="2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3">
        <f>Source!B70&amp;" "&amp;Source!B71&amp;"   "&amp;Source!B77&amp;""" Ø   "&amp;Source!B67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59">
        <f>"   ("&amp;Source!B68&amp;")"</f>
      </c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3">
        <f>Source!B82</f>
      </c>
      <c r="D40" s="3"/>
      <c r="E40" s="3"/>
      <c r="F40" s="3"/>
      <c r="G40" s="3"/>
      <c r="H40" s="3"/>
      <c r="I40" s="3"/>
      <c r="J40" s="3"/>
      <c r="K40" s="3"/>
      <c r="L40" s="3"/>
      <c r="M40" s="59">
        <f>" "&amp;Source!B83</f>
      </c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3">
        <f>Source!B84&amp;" rpm"</f>
      </c>
      <c r="D42" s="3"/>
      <c r="E42" s="3"/>
      <c r="F42" s="3"/>
      <c r="G42" s="3"/>
      <c r="H42" s="3"/>
      <c r="I42" s="3"/>
      <c r="J42" s="3"/>
      <c r="K42" s="3"/>
      <c r="L42" s="3"/>
      <c r="M42" s="59">
        <f>" "&amp;ROUNDUP(Source!D76,0)&amp;" rpm"</f>
      </c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15">
        <f>TRIM(TEXT(Source!B96,"# ?/?"))&amp;""" Ø x "&amp;Source!D93&amp;" x "&amp;Source!D91&amp;" mm Ø bore x "&amp;Source!D92&amp;" mm keyway"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59">
        <f>" "&amp;Source!D94&amp;" mm Ø Hub"</f>
      </c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15">
        <f>TRIM(TEXT(Source!B97,"# ?/?"))&amp;""" Ø x "&amp;Source!D93&amp;" x "&amp;Source!D80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59">
        <f>" "&amp;Source!D95&amp;" mm Ø Hub"</f>
      </c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3">
        <f>Source!D78&amp;"  --"</f>
      </c>
      <c r="D56" s="3"/>
      <c r="E56" s="3"/>
      <c r="F56" s="3"/>
      <c r="G56" s="3"/>
      <c r="H56" s="3"/>
      <c r="I56" s="3"/>
      <c r="J56" s="3"/>
      <c r="K56" s="3"/>
      <c r="L56" s="3"/>
      <c r="M56" s="59">
        <f>" "&amp;SUM(Source!B70)*2&amp;" pcs"</f>
      </c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30">
    <mergeCell ref="A12:W12"/>
    <mergeCell ref="D13:K13"/>
    <mergeCell ref="S13:V13"/>
    <mergeCell ref="C15:P15"/>
    <mergeCell ref="Q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L40"/>
    <mergeCell ref="M40:V40"/>
    <mergeCell ref="C42:L42"/>
    <mergeCell ref="M42:V42"/>
    <mergeCell ref="C44:V44"/>
    <mergeCell ref="C46:P46"/>
    <mergeCell ref="Q46:V46"/>
    <mergeCell ref="C48:P48"/>
    <mergeCell ref="Q48:V48"/>
    <mergeCell ref="C50:P50"/>
    <mergeCell ref="D52:M52"/>
    <mergeCell ref="C54:I54"/>
    <mergeCell ref="C56:L56"/>
    <mergeCell ref="M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