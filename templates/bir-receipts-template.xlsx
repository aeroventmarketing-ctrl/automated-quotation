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ERP\"/>
    </mc:Choice>
  </mc:AlternateContent>
  <xr:revisionPtr revIDLastSave="0" documentId="13_ncr:1_{57AB5599-F905-4A2B-829F-1209B50CFF7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nput" sheetId="4" r:id="rId1"/>
    <sheet name="SI" sheetId="2" r:id="rId2"/>
    <sheet name="DR" sheetId="1" r:id="rId3"/>
    <sheet name="CR" sheetId="3" r:id="rId4"/>
  </sheets>
  <definedNames>
    <definedName name="_xlnm.Print_Area" localSheetId="3">CR!$A$1:$M$15</definedName>
    <definedName name="_xlnm.Print_Area" localSheetId="2">DR!$A$1:$K$18</definedName>
    <definedName name="_xlnm.Print_Area" localSheetId="1">SI!$A$1:$K$20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A8" i="2"/>
  <c r="H16" i="4"/>
  <c r="G16" i="4"/>
  <c r="A6" i="1" s="1"/>
  <c r="K4" i="4"/>
  <c r="C8" i="2" l="1"/>
  <c r="I18" i="4"/>
  <c r="P5" i="4"/>
  <c r="Q5" i="4" s="1"/>
  <c r="R5" i="4" s="1"/>
  <c r="P4" i="4"/>
  <c r="Q4" i="4" s="1"/>
  <c r="R4" i="4" s="1"/>
  <c r="P3" i="4"/>
  <c r="Q3" i="4" s="1"/>
  <c r="R3" i="4" s="1"/>
  <c r="I17" i="4" l="1"/>
  <c r="C7" i="1" s="1"/>
  <c r="I16" i="4"/>
  <c r="C6" i="1" s="1"/>
  <c r="G15" i="4" l="1"/>
  <c r="I15" i="4"/>
  <c r="I36" i="4"/>
  <c r="K5" i="4" l="1"/>
  <c r="K6" i="4"/>
  <c r="K7" i="4"/>
  <c r="K8" i="4"/>
  <c r="K9" i="4"/>
  <c r="H15" i="4" l="1"/>
  <c r="I1" i="1"/>
  <c r="B1" i="1"/>
  <c r="B2" i="1" l="1"/>
  <c r="B3" i="1"/>
  <c r="A5" i="1"/>
  <c r="C5" i="1"/>
  <c r="J8" i="2" l="1"/>
  <c r="J7" i="2"/>
  <c r="A7" i="2"/>
  <c r="C7" i="2"/>
  <c r="J9" i="2"/>
  <c r="J10" i="2"/>
  <c r="J11" i="2"/>
  <c r="J12" i="2"/>
  <c r="J13" i="2"/>
  <c r="E17" i="2"/>
  <c r="E18" i="2"/>
  <c r="B1" i="2"/>
  <c r="J1" i="2"/>
  <c r="B2" i="2"/>
  <c r="E3" i="2"/>
  <c r="K9" i="2" l="1"/>
  <c r="K3" i="4"/>
  <c r="K7" i="2" s="1"/>
  <c r="K10" i="2" l="1"/>
  <c r="I5" i="3" l="1"/>
  <c r="G10" i="3"/>
  <c r="K8" i="2" l="1"/>
  <c r="M10" i="4" l="1"/>
  <c r="K13" i="2"/>
  <c r="K12" i="2"/>
  <c r="K11" i="2"/>
  <c r="G14" i="3" l="1"/>
  <c r="F8" i="3"/>
  <c r="F7" i="3"/>
  <c r="L8" i="3"/>
  <c r="L4" i="3"/>
  <c r="K10" i="4" l="1"/>
  <c r="B11" i="4" s="1"/>
  <c r="K14" i="2" l="1"/>
  <c r="K20" i="2" s="1"/>
  <c r="B5" i="3"/>
  <c r="C5" i="3"/>
  <c r="B13" i="4"/>
  <c r="K15" i="2" l="1"/>
  <c r="E19" i="2" s="1"/>
  <c r="B15" i="4"/>
  <c r="B6" i="3" s="1"/>
  <c r="B7" i="3" s="1"/>
  <c r="B13" i="3" s="1"/>
  <c r="L12" i="3" s="1"/>
  <c r="K16" i="2" l="1"/>
  <c r="E16" i="2" s="1"/>
  <c r="C7" i="3"/>
  <c r="B16" i="4"/>
  <c r="B7" i="4" s="1"/>
</calcChain>
</file>

<file path=xl/sharedStrings.xml><?xml version="1.0" encoding="utf-8"?>
<sst xmlns="http://schemas.openxmlformats.org/spreadsheetml/2006/main" count="97" uniqueCount="68">
  <si>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</si>
  <si>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</si>
  <si>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 xml:space="preserve"> </t>
  </si>
  <si>
    <t xml:space="preserve">     </t>
  </si>
  <si>
    <t xml:space="preserve">                            </t>
  </si>
  <si>
    <t xml:space="preserve">            </t>
  </si>
  <si>
    <t>Input Details Here</t>
  </si>
  <si>
    <t xml:space="preserve">Date : </t>
  </si>
  <si>
    <t xml:space="preserve">Qty. </t>
  </si>
  <si>
    <t>Unit</t>
  </si>
  <si>
    <t>Description</t>
  </si>
  <si>
    <t>Unit Price</t>
  </si>
  <si>
    <t>Amount</t>
  </si>
  <si>
    <t>Company Name :</t>
  </si>
  <si>
    <t xml:space="preserve">TIN # : </t>
  </si>
  <si>
    <t>Address :</t>
  </si>
  <si>
    <t xml:space="preserve">Business Style : </t>
  </si>
  <si>
    <t>Amount in Figure</t>
  </si>
  <si>
    <t>In partial/full payment of</t>
  </si>
  <si>
    <t>Total Sales</t>
  </si>
  <si>
    <t>Delivery Receipt</t>
  </si>
  <si>
    <t>Less VAT</t>
  </si>
  <si>
    <t>Qty</t>
  </si>
  <si>
    <t>Less Witholding Tax</t>
  </si>
  <si>
    <t>Net Collectible Amount</t>
  </si>
  <si>
    <t>%</t>
  </si>
  <si>
    <t>Amount in Words (line 1)</t>
  </si>
  <si>
    <t>Amount in Words (line 2)</t>
  </si>
  <si>
    <t>EWT Rate</t>
  </si>
  <si>
    <t>Override if needed</t>
  </si>
  <si>
    <t>result to unexpected irregularities in the application.  If this happen</t>
  </si>
  <si>
    <t>Make a client copy of this file before editing.  Failure to comply will</t>
  </si>
  <si>
    <t>contact the administrator.  Observe instructions in using thie application.</t>
  </si>
  <si>
    <t>Never edit this unless necessary and with permission to administrator</t>
  </si>
  <si>
    <t>CAUTION!!!</t>
  </si>
  <si>
    <t>For Delivery Receipt use only</t>
  </si>
  <si>
    <t>Undeditable</t>
  </si>
  <si>
    <t>Editable</t>
  </si>
  <si>
    <t>Legend</t>
  </si>
  <si>
    <t>Proceed with caution</t>
  </si>
  <si>
    <t>--</t>
  </si>
  <si>
    <t>limit text to yellow line</t>
  </si>
  <si>
    <t>For Sales Invoice</t>
  </si>
  <si>
    <t>up to 7 lines only</t>
  </si>
  <si>
    <t>in excess of 7 lines</t>
  </si>
  <si>
    <t>For Delivery Receipt</t>
  </si>
  <si>
    <t>up to 16 lines only</t>
  </si>
  <si>
    <t>in excess of 16 lines</t>
  </si>
  <si>
    <t>use separate</t>
  </si>
  <si>
    <t>Discounted Price</t>
  </si>
  <si>
    <t>For giving discounts</t>
  </si>
  <si>
    <t>Uneditable</t>
  </si>
  <si>
    <t>use client's PO#</t>
  </si>
  <si>
    <t>VAT Rate</t>
  </si>
  <si>
    <t>VAT Exempt Sales</t>
  </si>
  <si>
    <t>Zero Rated Sales</t>
  </si>
  <si>
    <t>**** Nothing follows ****</t>
  </si>
  <si>
    <t>pc</t>
  </si>
  <si>
    <t>Pcs</t>
  </si>
  <si>
    <t>-</t>
  </si>
  <si>
    <t>October 13, 2026</t>
  </si>
  <si>
    <t>TRUE-TEMP CORPORATION</t>
  </si>
  <si>
    <t>216-506-486-00000</t>
  </si>
  <si>
    <t>27A National Highway, Platero, Biñan City, Laguna</t>
  </si>
  <si>
    <t>PO No. 11014</t>
  </si>
  <si>
    <t xml:space="preserve">6" TDC Cleat Material: G.I. </t>
  </si>
  <si>
    <t>Angle Corner Material:G.I. / GA20</t>
  </si>
  <si>
    <t>Six Thousand Nine Hundred Thirty Seven &amp; 50/100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</si>
</sst>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mmm\ d\,\ yyyy;@"/>
    <numFmt numFmtId="165" formatCode="_(* #,##0.00_);_(* \(#,##0.00\);_(* &quot;-&quot;??_);_(@_)"/>
    <numFmt numFmtId="166" formatCode="#,##0.00;[Red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.5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6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3" fontId="3" fillId="5" borderId="5" xfId="0" applyNumberFormat="1" applyFont="1" applyFill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4" fontId="4" fillId="0" borderId="1" xfId="0" applyNumberFormat="1" applyFont="1" applyBorder="1" applyAlignment="1" applyProtection="1">
      <alignment horizontal="center"/>
      <protection locked="0"/>
    </xf>
    <xf numFmtId="4" fontId="3" fillId="5" borderId="1" xfId="0" applyNumberFormat="1" applyFont="1" applyFill="1" applyBorder="1" applyAlignment="1">
      <alignment horizontal="center"/>
    </xf>
    <xf numFmtId="4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4" borderId="0" xfId="0" applyFont="1" applyFill="1"/>
    <xf numFmtId="0" fontId="0" fillId="0" borderId="0" xfId="0" quotePrefix="1" applyAlignment="1">
      <alignment horizontal="center"/>
    </xf>
    <xf numFmtId="0" fontId="0" fillId="5" borderId="0" xfId="0" applyFill="1"/>
    <xf numFmtId="0" fontId="0" fillId="4" borderId="0" xfId="0" applyFill="1"/>
    <xf numFmtId="15" fontId="4" fillId="0" borderId="0" xfId="0" quotePrefix="1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4" fillId="0" borderId="0" xfId="1" applyFont="1" applyAlignment="1" applyProtection="1">
      <alignment vertical="center"/>
    </xf>
    <xf numFmtId="165" fontId="4" fillId="0" borderId="0" xfId="1" applyFont="1" applyAlignment="1" applyProtection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0" applyFont="1"/>
    <xf numFmtId="165" fontId="4" fillId="0" borderId="0" xfId="1" applyFont="1" applyAlignment="1" applyProtection="1">
      <alignment horizontal="left" vertical="center"/>
    </xf>
    <xf numFmtId="0" fontId="6" fillId="0" borderId="0" xfId="0" applyFont="1" applyAlignment="1">
      <alignment horizontal="left"/>
    </xf>
    <xf numFmtId="165" fontId="4" fillId="0" borderId="0" xfId="1" applyFont="1" applyAlignment="1" applyProtection="1"/>
    <xf numFmtId="165" fontId="4" fillId="0" borderId="0" xfId="1" applyFont="1" applyAlignment="1" applyProtection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65" fontId="6" fillId="0" borderId="0" xfId="1" applyFont="1" applyAlignment="1" applyProtection="1">
      <alignment horizontal="center"/>
    </xf>
    <xf numFmtId="165" fontId="4" fillId="0" borderId="0" xfId="0" applyNumberFormat="1" applyFont="1" applyAlignment="1">
      <alignment horizontal="center"/>
    </xf>
    <xf numFmtId="165" fontId="6" fillId="0" borderId="0" xfId="1" applyFont="1" applyAlignment="1" applyProtection="1"/>
    <xf numFmtId="165" fontId="11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left" vertical="top"/>
    </xf>
    <xf numFmtId="0" fontId="4" fillId="0" borderId="0" xfId="0" quotePrefix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165" fontId="5" fillId="0" borderId="0" xfId="1" applyFont="1" applyAlignment="1" applyProtection="1">
      <alignment vertical="center"/>
    </xf>
    <xf numFmtId="165" fontId="5" fillId="0" borderId="0" xfId="1" applyFont="1" applyAlignment="1" applyProtection="1"/>
    <xf numFmtId="0" fontId="5" fillId="0" borderId="0" xfId="0" applyFont="1"/>
    <xf numFmtId="165" fontId="5" fillId="0" borderId="0" xfId="1" applyFont="1" applyProtection="1"/>
    <xf numFmtId="164" fontId="5" fillId="0" borderId="0" xfId="0" applyNumberFormat="1" applyFont="1"/>
    <xf numFmtId="165" fontId="5" fillId="0" borderId="0" xfId="1" applyFont="1" applyAlignment="1" applyProtection="1">
      <alignment vertical="top"/>
    </xf>
    <xf numFmtId="0" fontId="5" fillId="0" borderId="0" xfId="0" applyFont="1" applyAlignment="1">
      <alignment vertical="top"/>
    </xf>
    <xf numFmtId="0" fontId="7" fillId="0" borderId="0" xfId="0" applyFont="1"/>
    <xf numFmtId="15" fontId="7" fillId="0" borderId="0" xfId="0" quotePrefix="1" applyNumberFormat="1" applyFont="1"/>
    <xf numFmtId="0" fontId="11" fillId="0" borderId="0" xfId="0" applyFont="1" applyAlignment="1">
      <alignment horizontal="right" vertical="center" wrapText="1"/>
    </xf>
    <xf numFmtId="0" fontId="7" fillId="0" borderId="0" xfId="0" applyFont="1" applyAlignment="1">
      <alignment wrapText="1"/>
    </xf>
    <xf numFmtId="165" fontId="14" fillId="0" borderId="0" xfId="1" applyFont="1" applyAlignment="1" applyProtection="1">
      <alignment horizontal="left" vertical="top"/>
    </xf>
    <xf numFmtId="165" fontId="13" fillId="0" borderId="0" xfId="1" applyFont="1" applyAlignment="1" applyProtection="1">
      <alignment vertical="top"/>
    </xf>
    <xf numFmtId="49" fontId="13" fillId="0" borderId="0" xfId="1" applyNumberFormat="1" applyFont="1" applyAlignment="1" applyProtection="1"/>
    <xf numFmtId="49" fontId="15" fillId="0" borderId="0" xfId="1" applyNumberFormat="1" applyFont="1" applyAlignment="1" applyProtection="1">
      <alignment vertical="top"/>
    </xf>
    <xf numFmtId="4" fontId="6" fillId="0" borderId="0" xfId="0" applyNumberFormat="1" applyFont="1"/>
    <xf numFmtId="4" fontId="6" fillId="0" borderId="0" xfId="0" quotePrefix="1" applyNumberFormat="1" applyFont="1" applyAlignment="1">
      <alignment horizontal="center"/>
    </xf>
    <xf numFmtId="166" fontId="5" fillId="0" borderId="0" xfId="1" quotePrefix="1" applyNumberFormat="1" applyFont="1" applyAlignment="1" applyProtection="1">
      <alignment vertical="top"/>
    </xf>
    <xf numFmtId="0" fontId="5" fillId="0" borderId="0" xfId="0" applyFont="1" applyAlignment="1">
      <alignment horizontal="center" vertical="top"/>
    </xf>
    <xf numFmtId="4" fontId="7" fillId="0" borderId="0" xfId="1" applyNumberFormat="1" applyFont="1" applyAlignment="1" applyProtection="1">
      <alignment vertical="top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right"/>
      <protection locked="0"/>
    </xf>
    <xf numFmtId="0" fontId="0" fillId="0" borderId="1" xfId="0" applyBorder="1" applyProtection="1">
      <protection locked="0"/>
    </xf>
    <xf numFmtId="43" fontId="0" fillId="0" borderId="0" xfId="2" applyFont="1" applyProtection="1"/>
    <xf numFmtId="43" fontId="0" fillId="0" borderId="0" xfId="0" applyNumberFormat="1"/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center" vertical="top"/>
    </xf>
    <xf numFmtId="165" fontId="12" fillId="0" borderId="0" xfId="1" applyFont="1" applyAlignment="1" applyProtection="1">
      <alignment horizontal="right"/>
    </xf>
    <xf numFmtId="4" fontId="13" fillId="0" borderId="0" xfId="1" applyNumberFormat="1" applyFont="1" applyAlignment="1" applyProtection="1">
      <alignment horizontal="right"/>
    </xf>
    <xf numFmtId="165" fontId="14" fillId="0" borderId="0" xfId="1" applyFont="1" applyAlignment="1" applyProtection="1">
      <alignment horizontal="right"/>
    </xf>
    <xf numFmtId="0" fontId="5" fillId="0" borderId="0" xfId="0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18" fillId="0" borderId="0" xfId="0" applyFont="1"/>
    <xf numFmtId="0" fontId="11" fillId="0" borderId="0" xfId="0" applyFont="1"/>
    <xf numFmtId="0" fontId="19" fillId="0" borderId="0" xfId="0" applyFont="1"/>
    <xf numFmtId="164" fontId="4" fillId="0" borderId="0" xfId="0" quotePrefix="1" applyNumberFormat="1" applyFont="1"/>
    <xf numFmtId="164" fontId="4" fillId="0" borderId="0" xfId="0" applyNumberFormat="1" applyFont="1"/>
    <xf numFmtId="43" fontId="6" fillId="0" borderId="0" xfId="2" applyFont="1" applyAlignment="1" applyProtection="1"/>
    <xf numFmtId="2" fontId="6" fillId="0" borderId="0" xfId="2" applyNumberFormat="1" applyFont="1" applyAlignment="1" applyProtection="1"/>
    <xf numFmtId="2" fontId="12" fillId="0" borderId="0" xfId="1" applyNumberFormat="1" applyFont="1" applyAlignment="1" applyProtection="1">
      <alignment horizontal="right"/>
    </xf>
    <xf numFmtId="0" fontId="20" fillId="0" borderId="0" xfId="0" applyFont="1"/>
    <xf numFmtId="0" fontId="18" fillId="0" borderId="0" xfId="0" applyFont="1" applyAlignment="1">
      <alignment vertical="center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0" xfId="0" quotePrefix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Protection="1">
      <protection locked="0"/>
    </xf>
    <xf numFmtId="0" fontId="0" fillId="3" borderId="7" xfId="0" applyFill="1" applyBorder="1" applyAlignment="1">
      <alignment horizontal="center"/>
    </xf>
    <xf numFmtId="0" fontId="0" fillId="3" borderId="0" xfId="0" applyFill="1" applyAlignment="1">
      <alignment horizontal="center"/>
    </xf>
    <xf numFmtId="4" fontId="0" fillId="0" borderId="0" xfId="0" applyNumberFormat="1" applyAlignment="1" applyProtection="1">
      <alignment horizontal="left"/>
      <protection locked="0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3" fillId="5" borderId="7" xfId="0" applyNumberFormat="1" applyFont="1" applyFill="1" applyBorder="1" applyAlignment="1">
      <alignment horizontal="center"/>
    </xf>
    <xf numFmtId="4" fontId="3" fillId="5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6" xfId="0" applyBorder="1" applyProtection="1">
      <protection locked="0"/>
    </xf>
    <xf numFmtId="0" fontId="0" fillId="0" borderId="0" xfId="0" quotePrefix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15" fontId="4" fillId="0" borderId="0" xfId="0" quotePrefix="1" applyNumberFormat="1" applyFont="1" applyAlignment="1">
      <alignment horizontal="center"/>
    </xf>
    <xf numFmtId="0" fontId="4" fillId="2" borderId="0" xfId="0" quotePrefix="1" applyFont="1" applyFill="1" applyAlignment="1">
      <alignment horizontal="right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Protection="1">
      <protection locked="0"/>
    </xf>
    <xf numFmtId="164" fontId="4" fillId="0" borderId="0" xfId="0" quotePrefix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top"/>
    </xf>
    <xf numFmtId="165" fontId="5" fillId="0" borderId="0" xfId="1" applyFont="1" applyAlignment="1" applyProtection="1">
      <alignment horizontal="center" vertical="center"/>
    </xf>
    <xf numFmtId="166" fontId="5" fillId="0" borderId="0" xfId="1" quotePrefix="1" applyNumberFormat="1" applyFont="1" applyAlignment="1" applyProtection="1">
      <alignment horizontal="right"/>
    </xf>
    <xf numFmtId="0" fontId="5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 wrapText="1"/>
    </xf>
    <xf numFmtId="165" fontId="5" fillId="0" borderId="0" xfId="1" applyFont="1" applyAlignment="1" applyProtection="1">
      <alignment horizontal="right" vertical="center"/>
    </xf>
    <xf numFmtId="4" fontId="6" fillId="0" borderId="0" xfId="0" quotePrefix="1" applyNumberFormat="1" applyFont="1" applyAlignment="1">
      <alignment horizontal="right"/>
    </xf>
    <xf numFmtId="0" fontId="4" fillId="0" borderId="0" xfId="0" applyFont="1" applyAlignment="1">
      <alignment vertical="top"/>
    </xf>
    <xf numFmtId="165" fontId="5" fillId="0" borderId="0" xfId="1" applyFont="1" applyAlignment="1" applyProtection="1">
      <alignment horizontal="center" vertical="top"/>
    </xf>
    <xf numFmtId="0" fontId="5" fillId="0" borderId="0" xfId="0" applyFont="1" applyAlignment="1">
      <alignment horizontal="left"/>
    </xf>
    <xf numFmtId="0" fontId="17" fillId="0" borderId="0" xfId="0" applyFont="1"/>
    <xf numFmtId="0" fontId="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165" fontId="5" fillId="0" borderId="0" xfId="1" applyFont="1" applyAlignment="1" applyProtection="1">
      <alignment horizontal="left" vertical="top"/>
    </xf>
    <xf numFmtId="0" fontId="5" fillId="0" borderId="0" xfId="0" applyFont="1" applyAlignment="1">
      <alignment horizontal="right"/>
    </xf>
    <xf numFmtId="165" fontId="5" fillId="0" borderId="0" xfId="1" quotePrefix="1" applyFont="1" applyAlignment="1" applyProtection="1">
      <alignment horizontal="right"/>
    </xf>
  </cellXfs>
  <cellStyles count="3">
    <cellStyle name="Comma" xfId="2" builtinId="3"/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zoomScale="80" zoomScaleNormal="80" workbookViewId="0">
      <pane ySplit="30" topLeftCell="A31" activePane="bottomLeft" state="frozen"/>
      <selection pane="bottomLeft" activeCell="B8" sqref="B8:D8"/>
    </sheetView>
  </sheetViews>
  <sheetFormatPr defaultColWidth="8.81640625" defaultRowHeight="14.5" x14ac:dyDescent="0.35"/>
  <cols>
    <col min="1" max="1" width="23.54296875" customWidth="1"/>
    <col min="2" max="2" width="6" customWidth="1"/>
    <col min="3" max="3" width="30.26953125" customWidth="1"/>
    <col min="4" max="4" width="12.26953125" customWidth="1"/>
    <col min="5" max="5" width="1.7265625" customWidth="1"/>
    <col min="6" max="6" width="20.7265625" customWidth="1"/>
    <col min="7" max="7" width="6.54296875" customWidth="1"/>
    <col min="8" max="8" width="7.453125" customWidth="1"/>
    <col min="9" max="9" width="44" customWidth="1"/>
    <col min="10" max="10" width="16" style="15" customWidth="1"/>
    <col min="11" max="11" width="24.81640625" style="15" customWidth="1"/>
    <col min="12" max="12" width="1.7265625" style="15" customWidth="1"/>
    <col min="16" max="17" width="11.1796875" style="92" bestFit="1" customWidth="1"/>
    <col min="18" max="18" width="11.1796875" bestFit="1" customWidth="1"/>
    <col min="19" max="19" width="10" bestFit="1" customWidth="1"/>
    <col min="20" max="20" width="11.1796875" bestFit="1" customWidth="1"/>
  </cols>
  <sheetData>
    <row r="1" spans="1:20" x14ac:dyDescent="0.35">
      <c r="A1" s="136" t="s">
        <v>6</v>
      </c>
      <c r="B1" s="136"/>
      <c r="C1" s="12"/>
      <c r="D1" s="12"/>
      <c r="E1" s="12"/>
      <c r="G1" s="136"/>
      <c r="H1" s="136"/>
      <c r="I1" s="136"/>
      <c r="J1" s="136"/>
      <c r="K1" s="136"/>
      <c r="L1" s="12"/>
    </row>
    <row r="2" spans="1:20" x14ac:dyDescent="0.35">
      <c r="A2" t="s">
        <v>7</v>
      </c>
      <c r="B2" s="139" t="s">
        <v>60</v>
      </c>
      <c r="C2" s="128"/>
      <c r="D2" s="128"/>
      <c r="F2" s="13" t="s">
        <v>37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</row>
    <row r="3" spans="1:20" x14ac:dyDescent="0.35">
      <c r="A3" t="s">
        <v>13</v>
      </c>
      <c r="B3" s="128" t="s">
        <v>61</v>
      </c>
      <c r="C3" s="128"/>
      <c r="D3" s="128"/>
      <c r="F3" s="13" t="s">
        <v>37</v>
      </c>
      <c r="G3" s="2">
        <v>300</v>
      </c>
      <c r="H3" s="2" t="s">
        <v>58</v>
      </c>
      <c r="I3" s="91" t="s">
        <v>65</v>
      </c>
      <c r="J3" s="6">
        <v>10</v>
      </c>
      <c r="K3" s="7">
        <f>J3*G3</f>
        <v>3000</v>
      </c>
      <c r="L3" s="4"/>
      <c r="M3" s="123" t="s">
        <v>42</v>
      </c>
      <c r="N3" s="122"/>
      <c r="P3" s="92">
        <f>J3*0.12</f>
        <v>1.2</v>
      </c>
      <c r="Q3" s="92">
        <f>J3+P3</f>
        <v>11.2</v>
      </c>
      <c r="R3" s="93">
        <f>Q3*0.95</f>
        <v>10.639999999999999</v>
      </c>
    </row>
    <row r="4" spans="1:20" x14ac:dyDescent="0.35">
      <c r="A4" t="s">
        <v>14</v>
      </c>
      <c r="B4" s="128" t="s">
        <v>62</v>
      </c>
      <c r="C4" s="128"/>
      <c r="D4" s="128"/>
      <c r="F4" s="13" t="s">
        <v>37</v>
      </c>
      <c r="G4" s="2">
        <v>500</v>
      </c>
      <c r="H4" s="2" t="s">
        <v>58</v>
      </c>
      <c r="I4" s="91" t="s">
        <v>66</v>
      </c>
      <c r="J4" s="6">
        <v>8</v>
      </c>
      <c r="K4" s="7">
        <f t="shared" ref="K4:K9" si="0">J4*G4</f>
        <v>4000</v>
      </c>
      <c r="L4" s="4"/>
      <c r="M4" s="117" t="s">
        <v>43</v>
      </c>
      <c r="N4" s="122"/>
      <c r="P4" s="92">
        <f t="shared" ref="P4:P5" si="1">J4*0.12</f>
        <v>0.96</v>
      </c>
      <c r="Q4" s="92">
        <f t="shared" ref="Q4:Q5" si="2">J4+P4</f>
        <v>8.9600000000000009</v>
      </c>
      <c r="R4" s="93">
        <f t="shared" ref="R4:R5" si="3">Q4*0.95</f>
        <v>8.5120000000000005</v>
      </c>
      <c r="S4" s="93"/>
      <c r="T4" s="93"/>
    </row>
    <row r="5" spans="1:20" x14ac:dyDescent="0.35">
      <c r="A5" t="s">
        <v>15</v>
      </c>
      <c r="B5" s="128" t="s">
        <v>63</v>
      </c>
      <c r="C5" s="128"/>
      <c r="D5" s="128"/>
      <c r="E5" s="128"/>
      <c r="F5" s="138"/>
      <c r="G5" s="2"/>
      <c r="H5" s="2"/>
      <c r="I5" s="91" t="s">
        <v>56</v>
      </c>
      <c r="J5" s="6"/>
      <c r="K5" s="7">
        <f t="shared" si="0"/>
        <v>0</v>
      </c>
      <c r="L5" s="4"/>
      <c r="M5" s="117" t="s">
        <v>44</v>
      </c>
      <c r="N5" s="122"/>
      <c r="P5" s="92">
        <f t="shared" si="1"/>
        <v>0</v>
      </c>
      <c r="Q5" s="92">
        <f t="shared" si="2"/>
        <v>0</v>
      </c>
      <c r="R5" s="93">
        <f t="shared" si="3"/>
        <v>0</v>
      </c>
      <c r="S5" s="93"/>
      <c r="T5" s="93"/>
    </row>
    <row r="6" spans="1:20" x14ac:dyDescent="0.35">
      <c r="A6" t="s">
        <v>16</v>
      </c>
      <c r="B6" s="128"/>
      <c r="C6" s="128"/>
      <c r="D6" s="128"/>
      <c r="F6" s="13" t="s">
        <v>37</v>
      </c>
      <c r="G6" s="2"/>
      <c r="H6" s="2"/>
      <c r="I6" s="91"/>
      <c r="J6" s="6"/>
      <c r="K6" s="7">
        <f t="shared" si="0"/>
        <v>0</v>
      </c>
      <c r="L6" s="4"/>
      <c r="M6" s="117" t="s">
        <v>52</v>
      </c>
      <c r="N6" s="118"/>
      <c r="R6" s="93"/>
      <c r="S6" s="93"/>
      <c r="T6" s="93"/>
    </row>
    <row r="7" spans="1:20" x14ac:dyDescent="0.35">
      <c r="A7" t="s">
        <v>17</v>
      </c>
      <c r="B7" s="132">
        <f>SUM(B16)</f>
        <v>6937.5</v>
      </c>
      <c r="C7" s="133"/>
      <c r="D7" s="133"/>
      <c r="E7" s="10"/>
      <c r="F7" s="16" t="s">
        <v>36</v>
      </c>
      <c r="G7" s="2"/>
      <c r="H7" s="2"/>
      <c r="I7" s="91"/>
      <c r="J7" s="6"/>
      <c r="K7" s="7">
        <f t="shared" si="0"/>
        <v>0</v>
      </c>
      <c r="L7" s="5"/>
    </row>
    <row r="8" spans="1:20" x14ac:dyDescent="0.35">
      <c r="A8" t="s">
        <v>26</v>
      </c>
      <c r="B8" s="128" t="s">
        <v>67</v>
      </c>
      <c r="C8" s="128"/>
      <c r="D8" s="128"/>
      <c r="E8" s="17"/>
      <c r="F8" s="13" t="s">
        <v>41</v>
      </c>
      <c r="G8" s="2"/>
      <c r="H8" s="2"/>
      <c r="I8" s="91"/>
      <c r="J8" s="6"/>
      <c r="K8" s="7">
        <f t="shared" si="0"/>
        <v>0</v>
      </c>
      <c r="L8" s="5"/>
      <c r="M8" s="17" t="s">
        <v>50</v>
      </c>
      <c r="N8" s="17"/>
      <c r="R8" s="93"/>
    </row>
    <row r="9" spans="1:20" x14ac:dyDescent="0.35">
      <c r="A9" t="s">
        <v>27</v>
      </c>
      <c r="B9" s="128"/>
      <c r="C9" s="128"/>
      <c r="D9" s="17"/>
      <c r="E9" s="17"/>
      <c r="F9" s="13" t="s">
        <v>41</v>
      </c>
      <c r="G9" s="2"/>
      <c r="H9" s="2"/>
      <c r="I9" s="91"/>
      <c r="J9" s="6"/>
      <c r="K9" s="7">
        <f t="shared" si="0"/>
        <v>0</v>
      </c>
      <c r="L9" s="4"/>
      <c r="M9" s="129" t="s">
        <v>49</v>
      </c>
      <c r="N9" s="130"/>
    </row>
    <row r="10" spans="1:20" x14ac:dyDescent="0.35">
      <c r="A10" t="s">
        <v>18</v>
      </c>
      <c r="B10" s="128" t="s">
        <v>64</v>
      </c>
      <c r="C10" s="128"/>
      <c r="D10" s="128"/>
      <c r="F10" s="13" t="s">
        <v>37</v>
      </c>
      <c r="G10" s="18"/>
      <c r="H10" s="19"/>
      <c r="I10" s="20" t="s">
        <v>19</v>
      </c>
      <c r="J10" s="21"/>
      <c r="K10" s="3">
        <f>SUM(K3:K9)</f>
        <v>7000</v>
      </c>
      <c r="L10" s="5"/>
      <c r="M10" s="134" t="e">
        <f>#REF!</f>
        <v>#REF!</v>
      </c>
      <c r="N10" s="135"/>
    </row>
    <row r="11" spans="1:20" x14ac:dyDescent="0.35">
      <c r="A11" t="s">
        <v>19</v>
      </c>
      <c r="B11" s="132">
        <f>SUM(K10)</f>
        <v>7000</v>
      </c>
      <c r="C11" s="133"/>
      <c r="D11" s="133"/>
      <c r="E11" s="10"/>
      <c r="F11" s="16" t="s">
        <v>36</v>
      </c>
      <c r="M11" s="124"/>
      <c r="N11" s="124"/>
    </row>
    <row r="12" spans="1:20" x14ac:dyDescent="0.35">
      <c r="A12" t="s">
        <v>53</v>
      </c>
      <c r="B12" s="8">
        <v>12</v>
      </c>
      <c r="C12" s="11" t="s">
        <v>25</v>
      </c>
      <c r="D12" s="11"/>
      <c r="E12" s="10"/>
      <c r="F12" s="13" t="s">
        <v>37</v>
      </c>
    </row>
    <row r="13" spans="1:20" x14ac:dyDescent="0.35">
      <c r="A13" t="s">
        <v>21</v>
      </c>
      <c r="B13" s="132">
        <f>SUM(B11*B12/100)/(1+(B12/100))</f>
        <v>749.99999999999989</v>
      </c>
      <c r="C13" s="133"/>
      <c r="D13" s="133"/>
      <c r="E13" s="10"/>
      <c r="F13" s="16" t="s">
        <v>36</v>
      </c>
      <c r="G13" s="137" t="s">
        <v>35</v>
      </c>
      <c r="H13" s="137"/>
      <c r="I13" s="137"/>
      <c r="J13" s="137"/>
      <c r="K13" s="137"/>
      <c r="L13" s="12"/>
    </row>
    <row r="14" spans="1:20" x14ac:dyDescent="0.35">
      <c r="A14" t="s">
        <v>28</v>
      </c>
      <c r="B14" s="9">
        <v>1</v>
      </c>
      <c r="C14" s="133" t="s">
        <v>25</v>
      </c>
      <c r="D14" s="124"/>
      <c r="F14" s="22" t="s">
        <v>29</v>
      </c>
      <c r="G14" s="14" t="s">
        <v>22</v>
      </c>
      <c r="H14" s="2" t="s">
        <v>57</v>
      </c>
      <c r="I14" s="125" t="s">
        <v>10</v>
      </c>
      <c r="J14" s="126"/>
      <c r="K14" s="127"/>
    </row>
    <row r="15" spans="1:20" x14ac:dyDescent="0.35">
      <c r="A15" t="s">
        <v>23</v>
      </c>
      <c r="B15" s="131">
        <f>SUM(B11-B13)*(B14/100)</f>
        <v>62.5</v>
      </c>
      <c r="C15" s="116"/>
      <c r="D15" s="116"/>
      <c r="E15" s="11"/>
      <c r="F15" s="22" t="s">
        <v>29</v>
      </c>
      <c r="G15" s="2">
        <f>G3</f>
        <v>300</v>
      </c>
      <c r="H15" s="2" t="str">
        <f t="shared" ref="H15:H16" si="4">H3</f>
        <v>Pcs</v>
      </c>
      <c r="I15" s="140" t="str">
        <f>I3</f>
        <v xml:space="preserve">6" TDC Cleat Material: G.I. </v>
      </c>
      <c r="J15" s="141"/>
      <c r="K15" s="142"/>
      <c r="L15"/>
    </row>
    <row r="16" spans="1:20" x14ac:dyDescent="0.35">
      <c r="A16" t="s">
        <v>24</v>
      </c>
      <c r="B16" s="132">
        <f>SUM(B11-B15)</f>
        <v>6937.5</v>
      </c>
      <c r="C16" s="133"/>
      <c r="D16" s="124"/>
      <c r="F16" s="16" t="s">
        <v>36</v>
      </c>
      <c r="G16" s="2">
        <f>G4</f>
        <v>500</v>
      </c>
      <c r="H16" s="2" t="str">
        <f t="shared" si="4"/>
        <v>Pcs</v>
      </c>
      <c r="I16" s="140" t="str">
        <f>I4</f>
        <v>Angle Corner Material:G.I. / GA20</v>
      </c>
      <c r="J16" s="141"/>
      <c r="K16" s="142"/>
      <c r="L16"/>
    </row>
    <row r="17" spans="1:14" x14ac:dyDescent="0.35">
      <c r="A17" t="s">
        <v>54</v>
      </c>
      <c r="B17" s="115">
        <v>0</v>
      </c>
      <c r="C17" s="116"/>
      <c r="F17" s="22" t="s">
        <v>29</v>
      </c>
      <c r="G17" s="2"/>
      <c r="H17" s="2"/>
      <c r="I17" s="140" t="str">
        <f>I5</f>
        <v>**** Nothing follows ****</v>
      </c>
      <c r="J17" s="141"/>
      <c r="K17" s="142"/>
      <c r="L17"/>
      <c r="M17" s="123" t="s">
        <v>45</v>
      </c>
      <c r="N17" s="121"/>
    </row>
    <row r="18" spans="1:14" x14ac:dyDescent="0.35">
      <c r="A18" t="s">
        <v>55</v>
      </c>
      <c r="B18" s="115">
        <v>0</v>
      </c>
      <c r="C18" s="116"/>
      <c r="F18" s="22" t="s">
        <v>29</v>
      </c>
      <c r="G18" s="2"/>
      <c r="H18" s="2"/>
      <c r="I18" s="140">
        <f>I6</f>
        <v>0</v>
      </c>
      <c r="J18" s="141"/>
      <c r="K18" s="142"/>
      <c r="L18"/>
      <c r="M18" s="117" t="s">
        <v>46</v>
      </c>
      <c r="N18" s="118"/>
    </row>
    <row r="19" spans="1:14" x14ac:dyDescent="0.35">
      <c r="G19" s="1"/>
      <c r="H19" s="2"/>
      <c r="I19" s="112"/>
      <c r="J19" s="113"/>
      <c r="K19" s="114"/>
      <c r="L19"/>
      <c r="M19" s="117" t="s">
        <v>47</v>
      </c>
      <c r="N19" s="118"/>
    </row>
    <row r="20" spans="1:14" x14ac:dyDescent="0.35">
      <c r="B20" t="s">
        <v>38</v>
      </c>
      <c r="G20" s="1"/>
      <c r="H20" s="2"/>
      <c r="I20" s="112"/>
      <c r="J20" s="113"/>
      <c r="K20" s="114"/>
      <c r="L20"/>
      <c r="M20" s="117" t="s">
        <v>48</v>
      </c>
      <c r="N20" s="118"/>
    </row>
    <row r="21" spans="1:14" x14ac:dyDescent="0.35">
      <c r="C21" s="23" t="s">
        <v>40</v>
      </c>
      <c r="D21" t="s">
        <v>37</v>
      </c>
      <c r="G21" s="1"/>
      <c r="H21" s="2"/>
      <c r="I21" s="112"/>
      <c r="J21" s="113"/>
      <c r="K21" s="114"/>
      <c r="L21"/>
      <c r="M21" s="117" t="s">
        <v>20</v>
      </c>
      <c r="N21" s="118"/>
    </row>
    <row r="22" spans="1:14" x14ac:dyDescent="0.35">
      <c r="B22" s="24"/>
      <c r="C22" s="23" t="s">
        <v>40</v>
      </c>
      <c r="D22" t="s">
        <v>51</v>
      </c>
      <c r="G22" s="1"/>
      <c r="H22" s="2"/>
      <c r="I22" s="112"/>
      <c r="J22" s="113"/>
      <c r="K22" s="114"/>
      <c r="L22"/>
    </row>
    <row r="23" spans="1:14" x14ac:dyDescent="0.35">
      <c r="B23" s="25"/>
      <c r="C23" s="23" t="s">
        <v>40</v>
      </c>
      <c r="D23" t="s">
        <v>39</v>
      </c>
      <c r="G23" s="1"/>
      <c r="H23" s="2"/>
      <c r="I23" s="112"/>
      <c r="J23" s="113"/>
      <c r="K23" s="114"/>
      <c r="L23"/>
    </row>
    <row r="24" spans="1:14" x14ac:dyDescent="0.35">
      <c r="G24" s="1"/>
      <c r="H24" s="2"/>
      <c r="I24" s="112"/>
      <c r="J24" s="113"/>
      <c r="K24" s="114"/>
      <c r="L24"/>
    </row>
    <row r="25" spans="1:14" x14ac:dyDescent="0.35">
      <c r="G25" s="1"/>
      <c r="H25" s="2"/>
      <c r="I25" s="112"/>
      <c r="J25" s="113"/>
      <c r="K25" s="114"/>
      <c r="L25"/>
    </row>
    <row r="26" spans="1:14" x14ac:dyDescent="0.35">
      <c r="A26" s="119" t="s">
        <v>34</v>
      </c>
      <c r="B26" s="120"/>
      <c r="C26" s="120"/>
      <c r="D26" s="120"/>
      <c r="G26" s="1"/>
      <c r="H26" s="2"/>
      <c r="I26" s="140"/>
      <c r="J26" s="141"/>
      <c r="K26" s="142"/>
      <c r="L26"/>
    </row>
    <row r="27" spans="1:14" x14ac:dyDescent="0.35">
      <c r="A27" s="121" t="s">
        <v>31</v>
      </c>
      <c r="B27" s="122"/>
      <c r="C27" s="122"/>
      <c r="D27" s="122"/>
      <c r="G27" s="1"/>
      <c r="H27" s="2"/>
      <c r="I27" s="140"/>
      <c r="J27" s="141"/>
      <c r="K27" s="142"/>
      <c r="L27"/>
    </row>
    <row r="28" spans="1:14" x14ac:dyDescent="0.35">
      <c r="A28" s="121" t="s">
        <v>30</v>
      </c>
      <c r="B28" s="122"/>
      <c r="C28" s="122"/>
      <c r="D28" s="122"/>
      <c r="G28" s="1"/>
      <c r="H28" s="2"/>
      <c r="I28" s="140"/>
      <c r="J28" s="141"/>
      <c r="K28" s="142"/>
      <c r="L28"/>
    </row>
    <row r="29" spans="1:14" x14ac:dyDescent="0.35">
      <c r="A29" s="121" t="s">
        <v>32</v>
      </c>
      <c r="B29" s="122"/>
      <c r="C29" s="122"/>
      <c r="D29" s="122"/>
      <c r="G29" s="1"/>
      <c r="H29" s="1"/>
      <c r="I29" s="140"/>
      <c r="J29" s="141"/>
      <c r="K29" s="142"/>
      <c r="L29"/>
    </row>
    <row r="30" spans="1:14" x14ac:dyDescent="0.35">
      <c r="A30" s="121" t="s">
        <v>33</v>
      </c>
      <c r="B30" s="121"/>
      <c r="C30" s="121"/>
      <c r="D30" s="121"/>
      <c r="G30" s="1"/>
      <c r="H30" s="1"/>
      <c r="I30" s="140"/>
      <c r="J30" s="141"/>
      <c r="K30" s="142"/>
      <c r="L30"/>
    </row>
    <row r="32" spans="1:14" x14ac:dyDescent="0.35">
      <c r="I32">
        <v>56704.82</v>
      </c>
    </row>
    <row r="34" spans="9:9" x14ac:dyDescent="0.35">
      <c r="I34">
        <v>28352.41</v>
      </c>
    </row>
    <row r="35" spans="9:9" x14ac:dyDescent="0.35">
      <c r="I35">
        <v>27846.12</v>
      </c>
    </row>
    <row r="36" spans="9:9" x14ac:dyDescent="0.35">
      <c r="I36">
        <f>SUM(I34:I35)</f>
        <v>56198.53</v>
      </c>
    </row>
  </sheetData>
  <mergeCells count="53">
    <mergeCell ref="A27:D27"/>
    <mergeCell ref="I30:K30"/>
    <mergeCell ref="I15:K15"/>
    <mergeCell ref="I16:K16"/>
    <mergeCell ref="I17:K17"/>
    <mergeCell ref="I18:K18"/>
    <mergeCell ref="I20:K20"/>
    <mergeCell ref="I21:K21"/>
    <mergeCell ref="I25:K25"/>
    <mergeCell ref="I24:K24"/>
    <mergeCell ref="I26:K26"/>
    <mergeCell ref="I27:K27"/>
    <mergeCell ref="I28:K28"/>
    <mergeCell ref="I29:K29"/>
    <mergeCell ref="A28:D28"/>
    <mergeCell ref="A30:D30"/>
    <mergeCell ref="A1:B1"/>
    <mergeCell ref="G1:K1"/>
    <mergeCell ref="G13:K13"/>
    <mergeCell ref="B5:F5"/>
    <mergeCell ref="B2:D2"/>
    <mergeCell ref="B4:D4"/>
    <mergeCell ref="B6:D6"/>
    <mergeCell ref="B7:D7"/>
    <mergeCell ref="B8:D8"/>
    <mergeCell ref="B10:D10"/>
    <mergeCell ref="B11:D11"/>
    <mergeCell ref="B13:D13"/>
    <mergeCell ref="B9:C9"/>
    <mergeCell ref="A26:D26"/>
    <mergeCell ref="A29:D29"/>
    <mergeCell ref="M3:N3"/>
    <mergeCell ref="M11:N11"/>
    <mergeCell ref="I14:K14"/>
    <mergeCell ref="M17:N17"/>
    <mergeCell ref="B3:D3"/>
    <mergeCell ref="M4:N4"/>
    <mergeCell ref="M5:N5"/>
    <mergeCell ref="M6:N6"/>
    <mergeCell ref="M9:N9"/>
    <mergeCell ref="B15:D15"/>
    <mergeCell ref="B16:D16"/>
    <mergeCell ref="C14:D14"/>
    <mergeCell ref="I23:K23"/>
    <mergeCell ref="M10:N10"/>
    <mergeCell ref="I19:K19"/>
    <mergeCell ref="I22:K22"/>
    <mergeCell ref="B17:C17"/>
    <mergeCell ref="M18:N18"/>
    <mergeCell ref="M19:N19"/>
    <mergeCell ref="M20:N20"/>
    <mergeCell ref="M21:N21"/>
    <mergeCell ref="B18:C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zoomScale="90" zoomScaleNormal="90" workbookViewId="0">
      <pane ySplit="20" topLeftCell="A21" activePane="bottomLeft" state="frozen"/>
      <selection pane="bottomLeft" activeCell="M31" sqref="M31"/>
    </sheetView>
  </sheetViews>
  <sheetFormatPr defaultColWidth="8.81640625" defaultRowHeight="14.5" x14ac:dyDescent="0.35"/>
  <cols>
    <col min="1" max="1" width="8.4921875" customWidth="1"/>
    <col min="2" max="2" width="12.1796875" customWidth="1"/>
    <col min="4" max="4" width="10.54296875" customWidth="1"/>
    <col min="5" max="5" width="16.54296875" customWidth="1"/>
    <col min="6" max="6" width="3.81640625" customWidth="1"/>
    <col min="7" max="7" width="3.453125" customWidth="1"/>
    <col min="8" max="8" width="1.26953125" customWidth="1"/>
    <col min="9" max="9" width="1.1796875" customWidth="1"/>
    <col min="10" max="10" width="12.1796875" bestFit="1" customWidth="1"/>
    <col min="11" max="11" width="16.7265625" style="53" customWidth="1"/>
    <col min="12" max="12" width="4.7265625" hidden="1" customWidth="1"/>
    <col min="16" max="16" width="0" hidden="1" customWidth="1"/>
  </cols>
  <sheetData>
    <row r="1" spans="1:17" ht="31.5" customHeight="1" x14ac:dyDescent="0.35">
      <c r="A1" s="13"/>
      <c r="B1" s="103" t="str">
        <f>Input!B3</f>
        <v>TRUE-TEMP CORPORATION</v>
      </c>
      <c r="C1" s="13"/>
      <c r="D1" s="13"/>
      <c r="E1" s="13"/>
      <c r="F1" s="13"/>
      <c r="G1" s="13"/>
      <c r="H1" s="26"/>
      <c r="I1" s="26"/>
      <c r="J1" s="143" t="str">
        <f>Input!B2</f>
        <v>October 13, 2026</v>
      </c>
      <c r="K1" s="143"/>
    </row>
    <row r="2" spans="1:17" ht="15.5" x14ac:dyDescent="0.35">
      <c r="A2" s="13"/>
      <c r="B2" s="111" t="str">
        <f>Input!B5</f>
        <v>27A National Highway, Platero, Biñan City, Laguna</v>
      </c>
      <c r="C2" s="13"/>
      <c r="D2" s="13"/>
      <c r="E2" s="13"/>
      <c r="F2" s="13"/>
      <c r="G2" s="13"/>
      <c r="H2" s="13"/>
      <c r="I2" s="13"/>
      <c r="J2" s="55"/>
      <c r="K2" s="55"/>
    </row>
    <row r="3" spans="1:17" x14ac:dyDescent="0.35">
      <c r="A3" s="13"/>
      <c r="B3" s="28"/>
      <c r="C3" s="29"/>
      <c r="D3" s="29"/>
      <c r="E3" s="144" t="str">
        <f>Input!B4</f>
        <v>216-506-486-00000</v>
      </c>
      <c r="F3" s="144"/>
      <c r="G3" s="144"/>
      <c r="H3" s="30"/>
      <c r="I3" s="30"/>
      <c r="J3" s="29"/>
      <c r="K3" s="31"/>
    </row>
    <row r="4" spans="1:17" ht="12.75" customHeight="1" x14ac:dyDescent="0.35">
      <c r="A4" s="13"/>
      <c r="B4" s="29"/>
      <c r="C4" s="29"/>
      <c r="D4" s="29"/>
      <c r="E4" s="29"/>
      <c r="F4" s="29"/>
      <c r="G4" s="29"/>
      <c r="H4" s="29"/>
      <c r="I4" s="29"/>
      <c r="J4" s="29"/>
      <c r="K4" s="31"/>
    </row>
    <row r="5" spans="1:17" x14ac:dyDescent="0.35">
      <c r="A5" s="13"/>
      <c r="B5" s="29"/>
      <c r="C5" s="29"/>
      <c r="D5" s="29"/>
      <c r="E5" s="29"/>
      <c r="F5" s="29"/>
      <c r="G5" s="29"/>
      <c r="H5" s="29"/>
      <c r="I5" s="29"/>
      <c r="J5" s="29"/>
      <c r="K5" s="31"/>
    </row>
    <row r="6" spans="1:17" ht="9.75" customHeight="1" x14ac:dyDescent="0.35">
      <c r="A6" s="13"/>
      <c r="B6" s="13"/>
      <c r="C6" s="13"/>
      <c r="D6" s="13"/>
      <c r="E6" s="13"/>
      <c r="F6" s="13"/>
      <c r="G6" s="13"/>
      <c r="H6" s="13"/>
      <c r="I6" s="13"/>
      <c r="J6" s="13"/>
      <c r="K6" s="31"/>
    </row>
    <row r="7" spans="1:17" ht="18.75" customHeight="1" x14ac:dyDescent="0.35">
      <c r="A7" s="80">
        <f>Input!G3</f>
        <v>300</v>
      </c>
      <c r="B7" s="80" t="s">
        <v>58</v>
      </c>
      <c r="C7" s="99" t="str">
        <f>Input!I3</f>
        <v xml:space="preserve">6" TDC Cleat Material: G.I. </v>
      </c>
      <c r="D7" s="99"/>
      <c r="E7" s="80"/>
      <c r="F7" s="80"/>
      <c r="G7" s="82"/>
      <c r="H7" s="29"/>
      <c r="I7" s="34"/>
      <c r="J7" s="35">
        <f>Input!J3</f>
        <v>10</v>
      </c>
      <c r="K7" s="36">
        <f>Input!K3</f>
        <v>3000</v>
      </c>
      <c r="L7" s="37"/>
    </row>
    <row r="8" spans="1:17" ht="18.75" customHeight="1" x14ac:dyDescent="0.35">
      <c r="A8" s="80">
        <f>Input!G4</f>
        <v>500</v>
      </c>
      <c r="B8" s="80" t="s">
        <v>58</v>
      </c>
      <c r="C8" s="99" t="str">
        <f>Input!I4</f>
        <v>Angle Corner Material:G.I. / GA20</v>
      </c>
      <c r="D8" s="100"/>
      <c r="E8" s="9"/>
      <c r="F8" s="9"/>
      <c r="G8" s="82"/>
      <c r="H8" s="29"/>
      <c r="I8" s="38"/>
      <c r="J8" s="35">
        <f>Input!J4</f>
        <v>8</v>
      </c>
      <c r="K8" s="36">
        <f>Input!K4</f>
        <v>4000</v>
      </c>
      <c r="L8" s="37"/>
      <c r="Q8" t="s">
        <v>2</v>
      </c>
    </row>
    <row r="9" spans="1:17" ht="15" customHeight="1" x14ac:dyDescent="0.35">
      <c r="A9" s="80"/>
      <c r="B9" s="80"/>
      <c r="C9" s="99" t="str">
        <f>Input!I5</f>
        <v>**** Nothing follows ****</v>
      </c>
      <c r="D9" s="99"/>
      <c r="E9" s="80"/>
      <c r="F9" s="80"/>
      <c r="G9" s="83"/>
      <c r="H9" s="13"/>
      <c r="I9" s="34"/>
      <c r="J9" s="35">
        <f>Input!J5</f>
        <v>0</v>
      </c>
      <c r="K9" s="36">
        <f>Input!K5</f>
        <v>0</v>
      </c>
      <c r="L9" s="37"/>
    </row>
    <row r="10" spans="1:17" ht="15" customHeight="1" x14ac:dyDescent="0.35">
      <c r="A10" s="80"/>
      <c r="B10" s="80"/>
      <c r="C10" s="99"/>
      <c r="D10" s="101"/>
      <c r="E10" s="84"/>
      <c r="F10" s="84"/>
      <c r="G10" s="84"/>
      <c r="H10" s="39"/>
      <c r="I10" s="40"/>
      <c r="J10" s="41">
        <f>Input!J6</f>
        <v>0</v>
      </c>
      <c r="K10" s="36">
        <f>Input!K6</f>
        <v>0</v>
      </c>
      <c r="L10" s="37"/>
    </row>
    <row r="11" spans="1:17" ht="15" customHeight="1" x14ac:dyDescent="0.35">
      <c r="A11" s="80"/>
      <c r="B11" s="81"/>
      <c r="C11" s="99"/>
      <c r="D11" s="9"/>
      <c r="E11" s="9"/>
      <c r="F11" s="9"/>
      <c r="G11" s="85"/>
      <c r="I11" s="40"/>
      <c r="J11" s="41">
        <f>Input!J7</f>
        <v>0</v>
      </c>
      <c r="K11" s="36">
        <f>Input!K7</f>
        <v>0</v>
      </c>
      <c r="L11" s="37"/>
      <c r="N11" t="s">
        <v>2</v>
      </c>
    </row>
    <row r="12" spans="1:17" x14ac:dyDescent="0.35">
      <c r="A12" s="80"/>
      <c r="B12" s="81"/>
      <c r="C12" s="99"/>
      <c r="D12" s="84"/>
      <c r="E12" s="80"/>
      <c r="F12" s="84"/>
      <c r="G12" s="86"/>
      <c r="H12" s="42"/>
      <c r="I12" s="35"/>
      <c r="J12" s="35">
        <f>Input!J8</f>
        <v>0</v>
      </c>
      <c r="K12" s="36">
        <f>Input!K8</f>
        <v>0</v>
      </c>
      <c r="L12" s="37"/>
    </row>
    <row r="13" spans="1:17" x14ac:dyDescent="0.35">
      <c r="A13" s="87"/>
      <c r="B13" s="88"/>
      <c r="C13" s="99"/>
      <c r="D13" s="80"/>
      <c r="E13" s="80"/>
      <c r="F13" s="80"/>
      <c r="G13" s="80"/>
      <c r="H13" s="32"/>
      <c r="I13" s="40"/>
      <c r="J13" s="41">
        <f>Input!J9</f>
        <v>0</v>
      </c>
      <c r="K13" s="36">
        <f>Input!K9</f>
        <v>0</v>
      </c>
      <c r="L13" s="37"/>
    </row>
    <row r="14" spans="1:17" ht="20.149999999999999" customHeight="1" x14ac:dyDescent="0.35">
      <c r="A14" s="43"/>
      <c r="B14" s="44"/>
      <c r="C14" s="99"/>
      <c r="D14" s="42"/>
      <c r="E14" s="42"/>
      <c r="F14" s="42"/>
      <c r="G14" s="42"/>
      <c r="H14" s="42"/>
      <c r="I14" s="145"/>
      <c r="J14" s="145"/>
      <c r="K14" s="45">
        <f>Input!B11</f>
        <v>7000</v>
      </c>
      <c r="L14" s="37"/>
    </row>
    <row r="15" spans="1:17" ht="18" customHeight="1" x14ac:dyDescent="0.35">
      <c r="A15" s="43"/>
      <c r="B15" s="44"/>
      <c r="C15" s="13"/>
      <c r="D15" s="13"/>
      <c r="E15" s="13"/>
      <c r="F15" s="13"/>
      <c r="G15" s="13"/>
      <c r="H15" s="13"/>
      <c r="I15" s="13"/>
      <c r="J15" s="13"/>
      <c r="K15" s="46">
        <f>Input!B13</f>
        <v>749.99999999999989</v>
      </c>
      <c r="L15" s="37"/>
    </row>
    <row r="16" spans="1:17" ht="18" customHeight="1" x14ac:dyDescent="0.35">
      <c r="A16" s="43"/>
      <c r="B16" s="44"/>
      <c r="C16" s="13"/>
      <c r="D16" s="47"/>
      <c r="E16" s="107">
        <f>SUM(K16)</f>
        <v>6250</v>
      </c>
      <c r="F16" s="42"/>
      <c r="G16" s="42"/>
      <c r="H16" s="42"/>
      <c r="I16" s="13"/>
      <c r="J16" s="13"/>
      <c r="K16" s="48">
        <f>K14-K15</f>
        <v>6250</v>
      </c>
      <c r="L16" s="37"/>
    </row>
    <row r="17" spans="1:12" ht="15.75" customHeight="1" x14ac:dyDescent="0.35">
      <c r="A17" s="13"/>
      <c r="B17" s="13"/>
      <c r="C17" s="13"/>
      <c r="D17" s="13"/>
      <c r="E17" s="108">
        <f>Input!B17</f>
        <v>0</v>
      </c>
      <c r="F17" s="13"/>
      <c r="G17" s="13"/>
      <c r="H17" s="13"/>
      <c r="I17" s="13"/>
      <c r="J17" s="13"/>
      <c r="K17" s="33"/>
      <c r="L17" s="37"/>
    </row>
    <row r="18" spans="1:12" ht="15.75" customHeight="1" x14ac:dyDescent="0.35">
      <c r="A18" s="13"/>
      <c r="B18" s="13"/>
      <c r="C18" s="13"/>
      <c r="D18" s="13"/>
      <c r="E18" s="108">
        <f>Input!B18</f>
        <v>0</v>
      </c>
      <c r="F18" s="13"/>
      <c r="G18" s="13"/>
      <c r="H18" s="13"/>
      <c r="I18" s="13"/>
      <c r="J18" s="13"/>
      <c r="K18" s="33"/>
      <c r="L18" s="37"/>
    </row>
    <row r="19" spans="1:12" ht="14.25" customHeight="1" x14ac:dyDescent="0.35">
      <c r="A19" s="13"/>
      <c r="B19" s="13"/>
      <c r="C19" s="32"/>
      <c r="D19" s="49"/>
      <c r="E19" s="107">
        <f>SUM(K15)</f>
        <v>749.99999999999989</v>
      </c>
      <c r="F19" s="13"/>
      <c r="G19" s="13"/>
      <c r="H19" s="13"/>
      <c r="I19" s="13"/>
      <c r="J19" s="13"/>
      <c r="K19" s="33"/>
      <c r="L19" s="37"/>
    </row>
    <row r="20" spans="1:12" ht="15" customHeight="1" x14ac:dyDescent="0.35">
      <c r="A20" s="13"/>
      <c r="B20" s="13"/>
      <c r="C20" s="146"/>
      <c r="D20" s="146"/>
      <c r="E20" s="146"/>
      <c r="F20" s="13"/>
      <c r="G20" s="13"/>
      <c r="H20" s="13"/>
      <c r="I20" s="13"/>
      <c r="J20" s="13"/>
      <c r="K20" s="50">
        <f>K14</f>
        <v>7000</v>
      </c>
      <c r="L20" s="37"/>
    </row>
    <row r="21" spans="1:12" ht="18.75" customHeight="1" x14ac:dyDescent="0.35">
      <c r="A21" s="13"/>
      <c r="B21" s="13"/>
      <c r="C21" s="145"/>
      <c r="D21" s="145"/>
      <c r="E21" s="145"/>
      <c r="F21" s="13"/>
      <c r="G21" s="13"/>
      <c r="H21" s="13"/>
      <c r="I21" s="13"/>
      <c r="J21" s="13"/>
      <c r="K21" s="31"/>
      <c r="L21" s="37"/>
    </row>
    <row r="22" spans="1:12" x14ac:dyDescent="0.35">
      <c r="A22" s="13"/>
      <c r="B22" s="13"/>
      <c r="C22" s="145"/>
      <c r="D22" s="145"/>
      <c r="E22" s="145"/>
      <c r="F22" s="13"/>
      <c r="G22" s="13"/>
      <c r="H22" s="13"/>
      <c r="I22" s="13"/>
      <c r="J22" s="13"/>
      <c r="K22" s="51"/>
      <c r="L22" s="37"/>
    </row>
    <row r="23" spans="1:12" x14ac:dyDescent="0.35">
      <c r="A23" s="52"/>
    </row>
  </sheetData>
  <mergeCells count="6">
    <mergeCell ref="J1:K1"/>
    <mergeCell ref="E3:G3"/>
    <mergeCell ref="C22:E22"/>
    <mergeCell ref="C20:E20"/>
    <mergeCell ref="C21:E21"/>
    <mergeCell ref="I14:J14"/>
  </mergeCells>
  <pageMargins left="0.3" right="0" top="1" bottom="0.75" header="0.3" footer="0.3"/>
  <pageSetup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zoomScale="90" zoomScaleNormal="90" workbookViewId="0">
      <pane ySplit="20" topLeftCell="A21" activePane="bottomLeft" state="frozen"/>
      <selection pane="bottomLeft" activeCell="C8" sqref="C8"/>
    </sheetView>
  </sheetViews>
  <sheetFormatPr defaultColWidth="8.81640625" defaultRowHeight="14.5" x14ac:dyDescent="0.35"/>
  <cols>
    <col min="1" max="1" width="11.453125" style="15" customWidth="1"/>
    <col min="2" max="2" width="9.453125" customWidth="1"/>
    <col min="3" max="3" width="13.1796875" customWidth="1"/>
    <col min="6" max="6" width="14.1796875" customWidth="1"/>
    <col min="7" max="7" width="7.453125" customWidth="1"/>
    <col min="8" max="9" width="4.1796875" customWidth="1"/>
    <col min="12" max="12" width="7.81640625" customWidth="1"/>
    <col min="13" max="13" width="9.453125" customWidth="1"/>
  </cols>
  <sheetData>
    <row r="1" spans="1:13" ht="30" customHeight="1" x14ac:dyDescent="0.45">
      <c r="A1" s="33"/>
      <c r="B1" s="110" t="str">
        <f>Input!B3</f>
        <v>TRUE-TEMP CORPORATION</v>
      </c>
      <c r="C1" s="103"/>
      <c r="D1" s="104"/>
      <c r="E1" s="104"/>
      <c r="F1" s="104"/>
      <c r="G1" s="104"/>
      <c r="H1" s="104"/>
      <c r="I1" s="104" t="str">
        <f>Input!B2</f>
        <v>October 13, 2026</v>
      </c>
      <c r="J1" s="105"/>
      <c r="K1" s="106"/>
      <c r="L1" s="148"/>
      <c r="M1" s="149"/>
    </row>
    <row r="2" spans="1:13" ht="15.75" customHeight="1" x14ac:dyDescent="0.35">
      <c r="A2" s="33"/>
      <c r="B2" s="144" t="str">
        <f>Input!B4</f>
        <v>216-506-486-00000</v>
      </c>
      <c r="C2" s="144"/>
      <c r="D2" s="144"/>
      <c r="E2" s="13"/>
      <c r="F2" s="13"/>
      <c r="G2" s="13"/>
      <c r="H2" s="13"/>
      <c r="I2" s="13"/>
      <c r="J2" s="13"/>
      <c r="K2" s="13"/>
      <c r="L2" s="13"/>
      <c r="M2" s="13"/>
    </row>
    <row r="3" spans="1:13" ht="20.149999999999999" customHeight="1" x14ac:dyDescent="0.35">
      <c r="A3" s="33"/>
      <c r="B3" s="66" t="str">
        <f>Input!B5</f>
        <v>27A National Highway, Platero, Biñan City, Laguna</v>
      </c>
      <c r="C3" s="13"/>
      <c r="D3" s="13"/>
      <c r="E3" s="13"/>
      <c r="F3" s="29"/>
      <c r="G3" s="29"/>
      <c r="H3" s="29"/>
      <c r="I3" s="29"/>
      <c r="J3" s="29"/>
      <c r="K3" s="29"/>
      <c r="L3" s="13"/>
      <c r="M3" s="55"/>
    </row>
    <row r="4" spans="1:13" ht="20.149999999999999" customHeight="1" x14ac:dyDescent="0.35">
      <c r="A4" s="33"/>
      <c r="B4" s="29"/>
      <c r="C4" s="29"/>
      <c r="D4" s="29"/>
      <c r="E4" s="29"/>
      <c r="F4" s="29"/>
      <c r="G4" s="29"/>
      <c r="H4" s="29"/>
      <c r="I4" s="29"/>
      <c r="J4" s="29"/>
      <c r="K4" s="29"/>
      <c r="L4" s="13" t="s">
        <v>0</v>
      </c>
      <c r="M4" s="13"/>
    </row>
    <row r="5" spans="1:13" ht="15" customHeight="1" x14ac:dyDescent="0.35">
      <c r="A5" s="89">
        <f>Input!G15</f>
        <v>300</v>
      </c>
      <c r="B5" s="99" t="s">
        <v>58</v>
      </c>
      <c r="C5" s="80" t="str">
        <f>Input!I15</f>
        <v xml:space="preserve">6" TDC Cleat Material: G.I. </v>
      </c>
      <c r="D5" s="80"/>
      <c r="E5" s="80"/>
      <c r="F5" s="80"/>
      <c r="G5" s="80"/>
      <c r="H5" s="80"/>
      <c r="I5" s="80"/>
      <c r="J5" s="80"/>
      <c r="K5" s="80"/>
      <c r="L5" s="80"/>
      <c r="M5" s="57"/>
    </row>
    <row r="6" spans="1:13" ht="15" customHeight="1" x14ac:dyDescent="0.35">
      <c r="A6" s="89">
        <f>Input!G16</f>
        <v>500</v>
      </c>
      <c r="B6" s="99" t="s">
        <v>58</v>
      </c>
      <c r="C6" s="80" t="str">
        <f>Input!I16</f>
        <v>Angle Corner Material:G.I. / GA20</v>
      </c>
      <c r="D6" s="80"/>
      <c r="E6" s="80"/>
      <c r="F6" s="80"/>
      <c r="G6" s="80"/>
      <c r="H6" s="80"/>
      <c r="I6" s="80"/>
      <c r="J6" s="80"/>
      <c r="K6" s="80"/>
      <c r="L6" s="80"/>
      <c r="M6" s="57"/>
    </row>
    <row r="7" spans="1:13" ht="15" customHeight="1" x14ac:dyDescent="0.35">
      <c r="A7" s="89"/>
      <c r="B7" s="99"/>
      <c r="C7" s="80" t="str">
        <f>Input!I17</f>
        <v>**** Nothing follows ****</v>
      </c>
      <c r="D7" s="80"/>
      <c r="E7" s="80"/>
      <c r="F7" s="80"/>
      <c r="G7" s="80"/>
      <c r="H7" s="80"/>
      <c r="I7" s="80"/>
      <c r="J7" s="80"/>
      <c r="K7" s="80"/>
      <c r="L7" s="80"/>
      <c r="M7" s="58"/>
    </row>
    <row r="8" spans="1:13" s="53" customFormat="1" ht="15" customHeight="1" x14ac:dyDescent="0.35">
      <c r="A8" s="89"/>
      <c r="B8" s="99"/>
      <c r="C8" s="80"/>
      <c r="D8" s="90"/>
      <c r="E8" s="90"/>
      <c r="F8" s="90"/>
      <c r="G8" s="90"/>
      <c r="H8" s="90"/>
      <c r="I8" s="90"/>
      <c r="J8" s="90"/>
      <c r="K8" s="90"/>
      <c r="L8" s="90"/>
      <c r="M8" s="94"/>
    </row>
    <row r="9" spans="1:13" ht="15" customHeight="1" x14ac:dyDescent="0.35">
      <c r="A9" s="89"/>
      <c r="B9" s="99"/>
      <c r="C9" s="80"/>
      <c r="D9" s="80"/>
      <c r="E9" s="80"/>
      <c r="F9" s="80"/>
      <c r="G9" s="80"/>
      <c r="H9" s="80"/>
      <c r="I9" s="80"/>
      <c r="J9" s="80"/>
      <c r="K9" s="80"/>
      <c r="L9" s="80"/>
      <c r="M9" s="57"/>
    </row>
    <row r="10" spans="1:13" ht="15" customHeight="1" x14ac:dyDescent="0.35">
      <c r="A10" s="89"/>
      <c r="B10" s="9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57"/>
    </row>
    <row r="11" spans="1:13" ht="15" customHeight="1" x14ac:dyDescent="0.35">
      <c r="A11" s="89"/>
      <c r="B11" s="9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57"/>
    </row>
    <row r="12" spans="1:13" ht="15" customHeight="1" x14ac:dyDescent="0.35">
      <c r="A12" s="89"/>
      <c r="B12" s="99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57"/>
    </row>
    <row r="13" spans="1:13" ht="15" customHeight="1" x14ac:dyDescent="0.35">
      <c r="A13" s="89"/>
      <c r="B13" s="99"/>
      <c r="C13" s="80"/>
      <c r="D13" s="85"/>
      <c r="E13" s="85"/>
      <c r="F13" s="85"/>
      <c r="G13" s="85"/>
      <c r="H13" s="85"/>
      <c r="I13" s="85"/>
      <c r="J13" s="85"/>
      <c r="K13" s="85"/>
      <c r="L13" s="85"/>
      <c r="M13" s="57"/>
    </row>
    <row r="14" spans="1:13" ht="15" customHeight="1" x14ac:dyDescent="0.35">
      <c r="A14" s="89"/>
      <c r="B14" s="99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57"/>
    </row>
    <row r="15" spans="1:13" ht="15" customHeight="1" x14ac:dyDescent="0.35">
      <c r="A15" s="89"/>
      <c r="B15" s="99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57"/>
    </row>
    <row r="16" spans="1:13" ht="13" customHeight="1" x14ac:dyDescent="0.35">
      <c r="A16" s="89"/>
      <c r="B16" s="99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57"/>
    </row>
    <row r="17" spans="1:13" ht="13" customHeight="1" x14ac:dyDescent="0.35">
      <c r="A17" s="89"/>
      <c r="B17" s="99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57"/>
    </row>
    <row r="18" spans="1:13" ht="13" customHeight="1" x14ac:dyDescent="0.35">
      <c r="A18" s="89"/>
      <c r="B18" s="99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57"/>
    </row>
    <row r="19" spans="1:13" ht="13" customHeight="1" x14ac:dyDescent="0.35">
      <c r="A19" s="81"/>
      <c r="B19" s="99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57"/>
    </row>
    <row r="20" spans="1:13" ht="13" customHeight="1" x14ac:dyDescent="0.35">
      <c r="A20" s="81"/>
      <c r="B20" s="83"/>
      <c r="C20" s="147" t="s">
        <v>2</v>
      </c>
      <c r="D20" s="128"/>
      <c r="E20" s="128"/>
      <c r="F20" s="128"/>
      <c r="G20" s="128"/>
      <c r="H20" s="128"/>
      <c r="I20" s="128"/>
      <c r="J20" s="128"/>
      <c r="K20" s="128"/>
      <c r="L20" s="128"/>
      <c r="M20" s="57"/>
    </row>
    <row r="21" spans="1:13" ht="12.75" customHeight="1" x14ac:dyDescent="0.35">
      <c r="M21" s="57"/>
    </row>
    <row r="22" spans="1:13" ht="12.75" customHeight="1" x14ac:dyDescent="0.35">
      <c r="A22" s="95"/>
      <c r="B22" s="57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57"/>
    </row>
    <row r="23" spans="1:13" ht="12.75" customHeight="1" x14ac:dyDescent="0.35">
      <c r="A23" s="95"/>
      <c r="B23" s="57"/>
      <c r="C23" s="57"/>
      <c r="D23" s="59"/>
      <c r="E23" s="59"/>
      <c r="F23" s="59"/>
      <c r="G23" s="59"/>
      <c r="H23" s="59"/>
      <c r="I23" s="59"/>
      <c r="J23" s="57"/>
      <c r="K23" s="57"/>
      <c r="L23" s="57"/>
      <c r="M23" s="57"/>
    </row>
    <row r="24" spans="1:13" ht="12.75" customHeight="1" x14ac:dyDescent="0.35">
      <c r="A24" s="95"/>
      <c r="B24" s="57"/>
      <c r="M24" s="57"/>
    </row>
    <row r="25" spans="1:13" x14ac:dyDescent="0.35">
      <c r="A25" s="95"/>
      <c r="B25" s="13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3"/>
    </row>
    <row r="26" spans="1:13" x14ac:dyDescent="0.35">
      <c r="A26" s="33"/>
      <c r="B26" s="13"/>
      <c r="M26" s="13"/>
    </row>
    <row r="27" spans="1:13" ht="13" customHeight="1" x14ac:dyDescent="0.35">
      <c r="A27" s="3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1:13" x14ac:dyDescent="0.35">
      <c r="A28" s="3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x14ac:dyDescent="0.35">
      <c r="A29" s="3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 x14ac:dyDescent="0.35">
      <c r="A30" s="3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 x14ac:dyDescent="0.35">
      <c r="A31" s="3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x14ac:dyDescent="0.35">
      <c r="A32" s="3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 ht="20.149999999999999" customHeight="1" x14ac:dyDescent="0.35">
      <c r="A33" s="3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1:13" x14ac:dyDescent="0.35">
      <c r="A34" s="33"/>
    </row>
    <row r="60" spans="16:16" x14ac:dyDescent="0.35">
      <c r="P60" t="s">
        <v>1</v>
      </c>
    </row>
  </sheetData>
  <mergeCells count="5">
    <mergeCell ref="C25:L25"/>
    <mergeCell ref="C20:L20"/>
    <mergeCell ref="L1:M1"/>
    <mergeCell ref="B2:D2"/>
    <mergeCell ref="C22:L22"/>
  </mergeCells>
  <pageMargins left="0.3" right="0" top="1.2" bottom="0.75" header="0.3" footer="0.3"/>
  <pageSetup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"/>
  <sheetViews>
    <sheetView view="pageBreakPreview" topLeftCell="B1" zoomScale="115" zoomScaleNormal="100" zoomScaleSheetLayoutView="115" workbookViewId="0">
      <pane ySplit="15" topLeftCell="A29" activePane="bottomLeft" state="frozen"/>
      <selection pane="bottomLeft" activeCell="G11" sqref="G11:M11"/>
    </sheetView>
  </sheetViews>
  <sheetFormatPr defaultColWidth="9.1796875" defaultRowHeight="13" x14ac:dyDescent="0.3"/>
  <cols>
    <col min="1" max="1" width="1.7265625" style="62" hidden="1" customWidth="1"/>
    <col min="2" max="2" width="19.1796875" style="63" customWidth="1"/>
    <col min="3" max="3" width="1.7265625" style="63" customWidth="1"/>
    <col min="4" max="4" width="3.81640625" style="63" customWidth="1"/>
    <col min="5" max="5" width="2.1796875" style="63" customWidth="1"/>
    <col min="6" max="6" width="4.54296875" style="56" customWidth="1"/>
    <col min="7" max="7" width="8.26953125" style="56" customWidth="1"/>
    <col min="8" max="8" width="4.7265625" style="62" customWidth="1"/>
    <col min="9" max="9" width="7.1796875" style="62" customWidth="1"/>
    <col min="10" max="10" width="14" style="62" customWidth="1"/>
    <col min="11" max="11" width="3" style="62" customWidth="1"/>
    <col min="12" max="12" width="10.1796875" style="62" customWidth="1"/>
    <col min="13" max="13" width="10.26953125" style="62" customWidth="1"/>
    <col min="14" max="14" width="13.7265625" style="62" bestFit="1" customWidth="1"/>
    <col min="15" max="16384" width="9.1796875" style="62"/>
  </cols>
  <sheetData>
    <row r="1" spans="2:16" ht="19" customHeight="1" x14ac:dyDescent="0.3">
      <c r="B1" s="151"/>
      <c r="C1" s="151"/>
      <c r="D1" s="61"/>
      <c r="E1" s="61"/>
    </row>
    <row r="2" spans="2:16" ht="15" customHeight="1" x14ac:dyDescent="0.3">
      <c r="B2" s="151"/>
      <c r="C2" s="151"/>
      <c r="M2" s="64"/>
      <c r="N2" s="64"/>
    </row>
    <row r="3" spans="2:16" s="66" customFormat="1" ht="22" customHeight="1" x14ac:dyDescent="0.3">
      <c r="B3" s="61"/>
      <c r="C3" s="61"/>
      <c r="D3" s="65"/>
      <c r="E3" s="65"/>
      <c r="F3" s="54"/>
      <c r="G3" s="54"/>
      <c r="J3" s="64"/>
      <c r="K3" s="64"/>
      <c r="L3" s="64"/>
      <c r="M3" s="64"/>
      <c r="N3" s="64"/>
    </row>
    <row r="4" spans="2:16" ht="16.5" customHeight="1" x14ac:dyDescent="0.3">
      <c r="F4" s="67"/>
      <c r="G4" s="67"/>
      <c r="H4" s="67"/>
      <c r="I4" s="67"/>
      <c r="J4" s="67"/>
      <c r="K4" s="68" t="s">
        <v>3</v>
      </c>
      <c r="L4" s="164" t="str">
        <f>Input!B2</f>
        <v>October 13, 2026</v>
      </c>
      <c r="M4" s="164"/>
      <c r="N4" s="64"/>
      <c r="P4" s="62" t="s">
        <v>2</v>
      </c>
    </row>
    <row r="5" spans="2:16" ht="12" customHeight="1" x14ac:dyDescent="0.3">
      <c r="B5" s="96">
        <f>Input!B11</f>
        <v>7000</v>
      </c>
      <c r="C5" s="96">
        <f>Input!B11</f>
        <v>7000</v>
      </c>
      <c r="F5" s="67"/>
      <c r="G5" s="69"/>
      <c r="H5" s="69"/>
      <c r="I5" s="161" t="str">
        <f>Input!B3</f>
        <v>TRUE-TEMP CORPORATION</v>
      </c>
      <c r="J5" s="162"/>
      <c r="K5" s="162"/>
      <c r="L5" s="162"/>
      <c r="M5" s="162"/>
      <c r="N5" s="70"/>
    </row>
    <row r="6" spans="2:16" s="66" customFormat="1" ht="12.75" customHeight="1" x14ac:dyDescent="0.3">
      <c r="B6" s="109">
        <f>Input!B15</f>
        <v>62.5</v>
      </c>
      <c r="C6" s="97"/>
      <c r="D6" s="65"/>
      <c r="E6" s="65"/>
      <c r="F6" s="54"/>
      <c r="G6" s="69"/>
      <c r="H6" s="69"/>
      <c r="I6" s="162"/>
      <c r="J6" s="162"/>
      <c r="K6" s="162"/>
      <c r="L6" s="162"/>
      <c r="M6" s="162"/>
      <c r="N6" s="70"/>
    </row>
    <row r="7" spans="2:16" ht="14.25" customHeight="1" x14ac:dyDescent="0.3">
      <c r="B7" s="96">
        <f>B5-B6</f>
        <v>6937.5</v>
      </c>
      <c r="C7" s="98">
        <f>C5-C6</f>
        <v>7000</v>
      </c>
      <c r="D7" s="61"/>
      <c r="E7" s="61"/>
      <c r="F7" s="154" t="str">
        <f>Input!B5</f>
        <v>27A National Highway, Platero, Biñan City, Laguna</v>
      </c>
      <c r="G7" s="154"/>
      <c r="H7" s="154"/>
      <c r="I7" s="154"/>
      <c r="J7" s="154"/>
      <c r="K7" s="154"/>
      <c r="L7" s="154"/>
      <c r="M7" s="154"/>
      <c r="N7" s="61"/>
    </row>
    <row r="8" spans="2:16" ht="18" customHeight="1" x14ac:dyDescent="0.3">
      <c r="B8" s="71"/>
      <c r="C8" s="71"/>
      <c r="D8" s="27"/>
      <c r="E8" s="27"/>
      <c r="F8" s="155">
        <f>Input!B6</f>
        <v>0</v>
      </c>
      <c r="G8" s="155"/>
      <c r="H8" s="155"/>
      <c r="I8" s="155"/>
      <c r="J8" s="60"/>
      <c r="L8" s="165" t="str">
        <f>Input!B4</f>
        <v>216-506-486-00000</v>
      </c>
      <c r="M8" s="165"/>
      <c r="N8" s="61"/>
    </row>
    <row r="9" spans="2:16" ht="7.5" customHeight="1" x14ac:dyDescent="0.3">
      <c r="D9" s="72"/>
      <c r="E9" s="72"/>
      <c r="F9" s="155"/>
      <c r="G9" s="155"/>
      <c r="H9" s="155"/>
      <c r="I9" s="155"/>
      <c r="J9" s="60"/>
      <c r="K9" s="60"/>
      <c r="L9" s="60"/>
      <c r="M9" s="65"/>
      <c r="O9" s="62" t="s">
        <v>2</v>
      </c>
    </row>
    <row r="10" spans="2:16" ht="12.75" customHeight="1" x14ac:dyDescent="0.3">
      <c r="D10" s="65"/>
      <c r="E10" s="65"/>
      <c r="F10" s="65"/>
      <c r="G10" s="158" t="str">
        <f>Input!B8</f>
        <v>Six Thousand Nine Hundred Thirty Seven &amp; 50/100</v>
      </c>
      <c r="H10" s="158"/>
      <c r="I10" s="158"/>
      <c r="J10" s="158"/>
      <c r="K10" s="158"/>
      <c r="L10" s="158"/>
      <c r="M10" s="158"/>
    </row>
    <row r="11" spans="2:16" ht="13" customHeight="1" x14ac:dyDescent="0.3">
      <c r="D11" s="65"/>
      <c r="E11" s="65"/>
      <c r="F11" s="65"/>
      <c r="G11" s="163"/>
      <c r="H11" s="163"/>
      <c r="I11" s="163"/>
      <c r="J11" s="163"/>
      <c r="K11" s="163"/>
      <c r="L11" s="163"/>
      <c r="M11" s="163"/>
    </row>
    <row r="12" spans="2:16" ht="13.5" customHeight="1" x14ac:dyDescent="0.35">
      <c r="B12" s="73"/>
      <c r="C12" s="73"/>
      <c r="D12" s="62"/>
      <c r="E12" s="159" t="s">
        <v>59</v>
      </c>
      <c r="F12" s="160"/>
      <c r="G12" s="160"/>
      <c r="H12" s="160"/>
      <c r="I12" s="160"/>
      <c r="J12" s="160"/>
      <c r="K12" s="160"/>
      <c r="L12" s="156">
        <f>B13</f>
        <v>6937.5</v>
      </c>
      <c r="M12" s="156"/>
    </row>
    <row r="13" spans="2:16" ht="7.5" customHeight="1" x14ac:dyDescent="0.35">
      <c r="B13" s="152">
        <f>B7</f>
        <v>6937.5</v>
      </c>
      <c r="C13" s="74"/>
      <c r="D13" s="62"/>
      <c r="E13" s="62"/>
      <c r="F13" s="29"/>
      <c r="G13" s="157"/>
      <c r="H13" s="157"/>
      <c r="I13" s="157"/>
      <c r="J13" s="157"/>
      <c r="K13" s="75"/>
      <c r="L13" s="76"/>
      <c r="M13" s="76"/>
    </row>
    <row r="14" spans="2:16" s="66" customFormat="1" ht="14.25" customHeight="1" x14ac:dyDescent="0.35">
      <c r="B14" s="152"/>
      <c r="C14" s="77"/>
      <c r="D14" s="65"/>
      <c r="E14" s="65"/>
      <c r="F14" s="54"/>
      <c r="G14" s="153" t="str">
        <f>Input!B10</f>
        <v>PO No. 11014</v>
      </c>
      <c r="H14" s="153"/>
      <c r="I14" s="153"/>
      <c r="J14" s="153"/>
      <c r="K14" s="153"/>
      <c r="L14" s="153"/>
      <c r="M14" s="153"/>
      <c r="N14" s="78"/>
    </row>
    <row r="15" spans="2:16" s="66" customFormat="1" ht="6" customHeight="1" x14ac:dyDescent="0.35">
      <c r="B15" s="79"/>
      <c r="C15" s="79"/>
      <c r="D15" s="65"/>
      <c r="E15" s="65"/>
      <c r="F15" s="54"/>
      <c r="G15" s="54"/>
    </row>
    <row r="17" spans="4:12" x14ac:dyDescent="0.3">
      <c r="D17" s="63" t="s">
        <v>4</v>
      </c>
      <c r="G17" s="56" t="s">
        <v>5</v>
      </c>
    </row>
    <row r="19" spans="4:12" x14ac:dyDescent="0.3">
      <c r="L19" s="62" t="s">
        <v>2</v>
      </c>
    </row>
    <row r="55" spans="12:12" x14ac:dyDescent="0.3">
      <c r="L55" s="62" t="s">
        <v>2</v>
      </c>
    </row>
    <row r="68" spans="13:13" ht="15.5" x14ac:dyDescent="0.35">
      <c r="M68" s="102"/>
    </row>
  </sheetData>
  <mergeCells count="14">
    <mergeCell ref="B1:B2"/>
    <mergeCell ref="B13:B14"/>
    <mergeCell ref="G14:M14"/>
    <mergeCell ref="C1:C2"/>
    <mergeCell ref="F7:M7"/>
    <mergeCell ref="F8:I9"/>
    <mergeCell ref="L12:M12"/>
    <mergeCell ref="G13:J13"/>
    <mergeCell ref="G10:M10"/>
    <mergeCell ref="E12:K12"/>
    <mergeCell ref="I5:M6"/>
    <mergeCell ref="G11:M11"/>
    <mergeCell ref="L4:M4"/>
    <mergeCell ref="L8:M8"/>
  </mergeCells>
  <pageMargins left="0.78740157480314965" right="0.70866141732283472" top="0.51181102362204722" bottom="0.74803149606299213" header="0.31496062992125984" footer="0.31496062992125984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Input</vt:lpstr>
      <vt:lpstr>SI</vt:lpstr>
      <vt:lpstr>DR</vt:lpstr>
      <vt:lpstr>CR</vt:lpstr>
      <vt:lpstr>CR!Print_Area</vt:lpstr>
      <vt:lpstr>DR!Print_Area</vt:lpstr>
      <vt:lpstr>SI!Print_Area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Gil Rey</cp:lastModifiedBy>
  <cp:lastPrinted>2026-10-13T02:39:02Z</cp:lastPrinted>
  <dcterms:created xsi:type="dcterms:W3CDTF">2020-08-19T01:10:13Z</dcterms:created>
  <dcterms:modified xsi:type="dcterms:W3CDTF">2026-10-13T06:55:46Z</dcterms:modified>
</cp:coreProperties>
</file>